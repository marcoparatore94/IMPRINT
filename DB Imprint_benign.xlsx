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3C9D3ECE-8E16-4A2F-A624-C83D565C688E}" xr6:coauthVersionLast="47" xr6:coauthVersionMax="47" xr10:uidLastSave="{00000000-0000-0000-0000-000000000000}"/>
  <bookViews>
    <workbookView xWindow="10718" yWindow="0" windowWidth="10965" windowHeight="11512" xr2:uid="{00000000-000D-0000-FFFF-FFFF00000000}"/>
  </bookViews>
  <sheets>
    <sheet name="Benig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1" i="2" l="1"/>
  <c r="S101" i="2"/>
  <c r="R101" i="2"/>
  <c r="Q101" i="2"/>
  <c r="P101" i="2"/>
  <c r="O101" i="2"/>
  <c r="N101" i="2"/>
  <c r="M101" i="2"/>
  <c r="F101" i="2"/>
  <c r="T100" i="2"/>
  <c r="S100" i="2"/>
  <c r="R100" i="2"/>
  <c r="Q100" i="2"/>
  <c r="P100" i="2"/>
  <c r="O100" i="2"/>
  <c r="N100" i="2"/>
  <c r="M100" i="2"/>
  <c r="F100" i="2"/>
  <c r="T99" i="2"/>
  <c r="S99" i="2"/>
  <c r="R99" i="2"/>
  <c r="Q99" i="2"/>
  <c r="P99" i="2"/>
  <c r="O99" i="2"/>
  <c r="N99" i="2"/>
  <c r="M99" i="2"/>
  <c r="F99" i="2"/>
  <c r="T98" i="2"/>
  <c r="S98" i="2"/>
  <c r="R98" i="2"/>
  <c r="Q98" i="2"/>
  <c r="P98" i="2"/>
  <c r="O98" i="2"/>
  <c r="N98" i="2"/>
  <c r="M98" i="2"/>
  <c r="F98" i="2"/>
  <c r="T97" i="2"/>
  <c r="S97" i="2"/>
  <c r="R97" i="2"/>
  <c r="Q97" i="2"/>
  <c r="P97" i="2"/>
  <c r="O97" i="2"/>
  <c r="N97" i="2"/>
  <c r="M97" i="2"/>
  <c r="F97" i="2"/>
  <c r="T96" i="2"/>
  <c r="S96" i="2"/>
  <c r="R96" i="2"/>
  <c r="Q96" i="2"/>
  <c r="P96" i="2"/>
  <c r="O96" i="2"/>
  <c r="N96" i="2"/>
  <c r="M96" i="2"/>
  <c r="F96" i="2"/>
  <c r="T95" i="2"/>
  <c r="S95" i="2"/>
  <c r="R95" i="2"/>
  <c r="Q95" i="2"/>
  <c r="P95" i="2"/>
  <c r="O95" i="2"/>
  <c r="N95" i="2"/>
  <c r="M95" i="2"/>
  <c r="F95" i="2"/>
  <c r="T94" i="2"/>
  <c r="S94" i="2"/>
  <c r="R94" i="2"/>
  <c r="Q94" i="2"/>
  <c r="P94" i="2"/>
  <c r="O94" i="2"/>
  <c r="N94" i="2"/>
  <c r="M94" i="2"/>
  <c r="F94" i="2"/>
  <c r="T93" i="2"/>
  <c r="S93" i="2"/>
  <c r="R93" i="2"/>
  <c r="Q93" i="2"/>
  <c r="P93" i="2"/>
  <c r="O93" i="2"/>
  <c r="N93" i="2"/>
  <c r="M93" i="2"/>
  <c r="F93" i="2"/>
  <c r="T92" i="2"/>
  <c r="S92" i="2"/>
  <c r="R92" i="2"/>
  <c r="Q92" i="2"/>
  <c r="P92" i="2"/>
  <c r="O92" i="2"/>
  <c r="N92" i="2"/>
  <c r="M92" i="2"/>
  <c r="F92" i="2"/>
  <c r="T91" i="2"/>
  <c r="S91" i="2"/>
  <c r="R91" i="2"/>
  <c r="Q91" i="2"/>
  <c r="P91" i="2"/>
  <c r="O91" i="2"/>
  <c r="N91" i="2"/>
  <c r="M91" i="2"/>
  <c r="F91" i="2"/>
  <c r="T90" i="2"/>
  <c r="S90" i="2"/>
  <c r="R90" i="2"/>
  <c r="Q90" i="2"/>
  <c r="P90" i="2"/>
  <c r="O90" i="2"/>
  <c r="N90" i="2"/>
  <c r="M90" i="2"/>
  <c r="F90" i="2"/>
  <c r="T89" i="2"/>
  <c r="S89" i="2"/>
  <c r="R89" i="2"/>
  <c r="Q89" i="2"/>
  <c r="P89" i="2"/>
  <c r="O89" i="2"/>
  <c r="N89" i="2"/>
  <c r="M89" i="2"/>
  <c r="F89" i="2"/>
  <c r="T88" i="2"/>
  <c r="S88" i="2"/>
  <c r="R88" i="2"/>
  <c r="Q88" i="2"/>
  <c r="P88" i="2"/>
  <c r="O88" i="2"/>
  <c r="N88" i="2"/>
  <c r="M88" i="2"/>
  <c r="F88" i="2"/>
  <c r="T87" i="2"/>
  <c r="S87" i="2"/>
  <c r="R87" i="2"/>
  <c r="Q87" i="2"/>
  <c r="P87" i="2"/>
  <c r="O87" i="2"/>
  <c r="N87" i="2"/>
  <c r="M87" i="2"/>
  <c r="F87" i="2"/>
  <c r="T86" i="2"/>
  <c r="S86" i="2"/>
  <c r="R86" i="2"/>
  <c r="Q86" i="2"/>
  <c r="P86" i="2"/>
  <c r="O86" i="2"/>
  <c r="N86" i="2"/>
  <c r="M86" i="2"/>
  <c r="F86" i="2"/>
  <c r="T85" i="2"/>
  <c r="S85" i="2"/>
  <c r="R85" i="2"/>
  <c r="Q85" i="2"/>
  <c r="P85" i="2"/>
  <c r="O85" i="2"/>
  <c r="N85" i="2"/>
  <c r="M85" i="2"/>
  <c r="F85" i="2"/>
  <c r="T84" i="2"/>
  <c r="S84" i="2"/>
  <c r="R84" i="2"/>
  <c r="Q84" i="2"/>
  <c r="P84" i="2"/>
  <c r="O84" i="2"/>
  <c r="N84" i="2"/>
  <c r="M84" i="2"/>
  <c r="F84" i="2"/>
  <c r="T83" i="2"/>
  <c r="S83" i="2"/>
  <c r="R83" i="2"/>
  <c r="Q83" i="2"/>
  <c r="P83" i="2"/>
  <c r="O83" i="2"/>
  <c r="N83" i="2"/>
  <c r="M83" i="2"/>
  <c r="F83" i="2"/>
  <c r="T82" i="2"/>
  <c r="S82" i="2"/>
  <c r="R82" i="2"/>
  <c r="Q82" i="2"/>
  <c r="P82" i="2"/>
  <c r="O82" i="2"/>
  <c r="N82" i="2"/>
  <c r="M82" i="2"/>
  <c r="F82" i="2"/>
  <c r="T81" i="2"/>
  <c r="S81" i="2"/>
  <c r="R81" i="2"/>
  <c r="Q81" i="2"/>
  <c r="P81" i="2"/>
  <c r="O81" i="2"/>
  <c r="N81" i="2"/>
  <c r="M81" i="2"/>
  <c r="F81" i="2"/>
  <c r="T80" i="2"/>
  <c r="S80" i="2"/>
  <c r="R80" i="2"/>
  <c r="Q80" i="2"/>
  <c r="P80" i="2"/>
  <c r="O80" i="2"/>
  <c r="N80" i="2"/>
  <c r="M80" i="2"/>
  <c r="F80" i="2"/>
  <c r="T79" i="2"/>
  <c r="S79" i="2"/>
  <c r="R79" i="2"/>
  <c r="Q79" i="2"/>
  <c r="P79" i="2"/>
  <c r="O79" i="2"/>
  <c r="N79" i="2"/>
  <c r="M79" i="2"/>
  <c r="F79" i="2"/>
  <c r="T78" i="2"/>
  <c r="S78" i="2"/>
  <c r="R78" i="2"/>
  <c r="Q78" i="2"/>
  <c r="P78" i="2"/>
  <c r="O78" i="2"/>
  <c r="N78" i="2"/>
  <c r="M78" i="2"/>
  <c r="F78" i="2"/>
  <c r="T77" i="2"/>
  <c r="S77" i="2"/>
  <c r="R77" i="2"/>
  <c r="Q77" i="2"/>
  <c r="P77" i="2"/>
  <c r="O77" i="2"/>
  <c r="N77" i="2"/>
  <c r="M77" i="2"/>
  <c r="F77" i="2"/>
  <c r="T76" i="2"/>
  <c r="S76" i="2"/>
  <c r="R76" i="2"/>
  <c r="Q76" i="2"/>
  <c r="P76" i="2"/>
  <c r="O76" i="2"/>
  <c r="N76" i="2"/>
  <c r="M76" i="2"/>
  <c r="F76" i="2"/>
  <c r="T75" i="2"/>
  <c r="S75" i="2"/>
  <c r="R75" i="2"/>
  <c r="Q75" i="2"/>
  <c r="P75" i="2"/>
  <c r="O75" i="2"/>
  <c r="N75" i="2"/>
  <c r="M75" i="2"/>
  <c r="F75" i="2"/>
  <c r="T74" i="2"/>
  <c r="S74" i="2"/>
  <c r="R74" i="2"/>
  <c r="Q74" i="2"/>
  <c r="P74" i="2"/>
  <c r="O74" i="2"/>
  <c r="N74" i="2"/>
  <c r="M74" i="2"/>
  <c r="F74" i="2"/>
  <c r="T73" i="2"/>
  <c r="S73" i="2"/>
  <c r="R73" i="2"/>
  <c r="Q73" i="2"/>
  <c r="P73" i="2"/>
  <c r="O73" i="2"/>
  <c r="N73" i="2"/>
  <c r="M73" i="2"/>
  <c r="F73" i="2"/>
  <c r="T72" i="2"/>
  <c r="S72" i="2"/>
  <c r="R72" i="2"/>
  <c r="Q72" i="2"/>
  <c r="P72" i="2"/>
  <c r="O72" i="2"/>
  <c r="N72" i="2"/>
  <c r="M72" i="2"/>
  <c r="F72" i="2"/>
  <c r="T71" i="2"/>
  <c r="S71" i="2"/>
  <c r="R71" i="2"/>
  <c r="Q71" i="2"/>
  <c r="P71" i="2"/>
  <c r="O71" i="2"/>
  <c r="N71" i="2"/>
  <c r="M71" i="2"/>
  <c r="F71" i="2"/>
  <c r="T70" i="2"/>
  <c r="S70" i="2"/>
  <c r="R70" i="2"/>
  <c r="Q70" i="2"/>
  <c r="P70" i="2"/>
  <c r="O70" i="2"/>
  <c r="N70" i="2"/>
  <c r="M70" i="2"/>
  <c r="F70" i="2"/>
  <c r="T69" i="2"/>
  <c r="S69" i="2"/>
  <c r="R69" i="2"/>
  <c r="Q69" i="2"/>
  <c r="P69" i="2"/>
  <c r="O69" i="2"/>
  <c r="N69" i="2"/>
  <c r="M69" i="2"/>
  <c r="F69" i="2"/>
  <c r="T68" i="2"/>
  <c r="S68" i="2"/>
  <c r="R68" i="2"/>
  <c r="Q68" i="2"/>
  <c r="P68" i="2"/>
  <c r="O68" i="2"/>
  <c r="N68" i="2"/>
  <c r="M68" i="2"/>
  <c r="F68" i="2"/>
  <c r="T67" i="2"/>
  <c r="S67" i="2"/>
  <c r="R67" i="2"/>
  <c r="Q67" i="2"/>
  <c r="P67" i="2"/>
  <c r="O67" i="2"/>
  <c r="N67" i="2"/>
  <c r="M67" i="2"/>
  <c r="F67" i="2"/>
  <c r="T66" i="2"/>
  <c r="S66" i="2"/>
  <c r="R66" i="2"/>
  <c r="Q66" i="2"/>
  <c r="P66" i="2"/>
  <c r="O66" i="2"/>
  <c r="N66" i="2"/>
  <c r="M66" i="2"/>
  <c r="F66" i="2"/>
  <c r="T65" i="2"/>
  <c r="S65" i="2"/>
  <c r="R65" i="2"/>
  <c r="Q65" i="2"/>
  <c r="P65" i="2"/>
  <c r="O65" i="2"/>
  <c r="N65" i="2"/>
  <c r="M65" i="2"/>
  <c r="F65" i="2"/>
  <c r="T64" i="2"/>
  <c r="S64" i="2"/>
  <c r="R64" i="2"/>
  <c r="Q64" i="2"/>
  <c r="P64" i="2"/>
  <c r="O64" i="2"/>
  <c r="N64" i="2"/>
  <c r="M64" i="2"/>
  <c r="F64" i="2"/>
  <c r="T63" i="2"/>
  <c r="S63" i="2"/>
  <c r="R63" i="2"/>
  <c r="Q63" i="2"/>
  <c r="P63" i="2"/>
  <c r="O63" i="2"/>
  <c r="N63" i="2"/>
  <c r="M63" i="2"/>
  <c r="F63" i="2"/>
  <c r="T62" i="2"/>
  <c r="S62" i="2"/>
  <c r="R62" i="2"/>
  <c r="Q62" i="2"/>
  <c r="P62" i="2"/>
  <c r="O62" i="2"/>
  <c r="N62" i="2"/>
  <c r="M62" i="2"/>
  <c r="F62" i="2"/>
  <c r="T61" i="2"/>
  <c r="S61" i="2"/>
  <c r="R61" i="2"/>
  <c r="Q61" i="2"/>
  <c r="P61" i="2"/>
  <c r="O61" i="2"/>
  <c r="N61" i="2"/>
  <c r="M61" i="2"/>
  <c r="F61" i="2"/>
  <c r="T60" i="2"/>
  <c r="S60" i="2"/>
  <c r="R60" i="2"/>
  <c r="Q60" i="2"/>
  <c r="P60" i="2"/>
  <c r="O60" i="2"/>
  <c r="N60" i="2"/>
  <c r="M60" i="2"/>
  <c r="F60" i="2"/>
  <c r="T59" i="2"/>
  <c r="S59" i="2"/>
  <c r="R59" i="2"/>
  <c r="Q59" i="2"/>
  <c r="P59" i="2"/>
  <c r="O59" i="2"/>
  <c r="N59" i="2"/>
  <c r="M59" i="2"/>
  <c r="F59" i="2"/>
  <c r="T58" i="2"/>
  <c r="S58" i="2"/>
  <c r="R58" i="2"/>
  <c r="Q58" i="2"/>
  <c r="P58" i="2"/>
  <c r="O58" i="2"/>
  <c r="N58" i="2"/>
  <c r="M58" i="2"/>
  <c r="F58" i="2"/>
  <c r="T57" i="2"/>
  <c r="S57" i="2"/>
  <c r="R57" i="2"/>
  <c r="Q57" i="2"/>
  <c r="P57" i="2"/>
  <c r="O57" i="2"/>
  <c r="N57" i="2"/>
  <c r="M57" i="2"/>
  <c r="F57" i="2"/>
  <c r="T56" i="2"/>
  <c r="S56" i="2"/>
  <c r="R56" i="2"/>
  <c r="Q56" i="2"/>
  <c r="P56" i="2"/>
  <c r="O56" i="2"/>
  <c r="N56" i="2"/>
  <c r="M56" i="2"/>
  <c r="F56" i="2"/>
  <c r="T55" i="2"/>
  <c r="S55" i="2"/>
  <c r="R55" i="2"/>
  <c r="Q55" i="2"/>
  <c r="P55" i="2"/>
  <c r="O55" i="2"/>
  <c r="N55" i="2"/>
  <c r="M55" i="2"/>
  <c r="F55" i="2"/>
  <c r="T54" i="2"/>
  <c r="S54" i="2"/>
  <c r="R54" i="2"/>
  <c r="Q54" i="2"/>
  <c r="P54" i="2"/>
  <c r="O54" i="2"/>
  <c r="N54" i="2"/>
  <c r="M54" i="2"/>
  <c r="F54" i="2"/>
  <c r="T53" i="2"/>
  <c r="S53" i="2"/>
  <c r="R53" i="2"/>
  <c r="Q53" i="2"/>
  <c r="P53" i="2"/>
  <c r="O53" i="2"/>
  <c r="N53" i="2"/>
  <c r="M53" i="2"/>
  <c r="F53" i="2"/>
  <c r="T52" i="2"/>
  <c r="S52" i="2"/>
  <c r="R52" i="2"/>
  <c r="Q52" i="2"/>
  <c r="P52" i="2"/>
  <c r="O52" i="2"/>
  <c r="N52" i="2"/>
  <c r="M52" i="2"/>
  <c r="F52" i="2"/>
  <c r="T51" i="2"/>
  <c r="S51" i="2"/>
  <c r="R51" i="2"/>
  <c r="Q51" i="2"/>
  <c r="P51" i="2"/>
  <c r="O51" i="2"/>
  <c r="N51" i="2"/>
  <c r="M51" i="2"/>
  <c r="F51" i="2"/>
  <c r="T50" i="2"/>
  <c r="S50" i="2"/>
  <c r="R50" i="2"/>
  <c r="Q50" i="2"/>
  <c r="P50" i="2"/>
  <c r="O50" i="2"/>
  <c r="N50" i="2"/>
  <c r="M50" i="2"/>
  <c r="F50" i="2"/>
  <c r="T49" i="2"/>
  <c r="S49" i="2"/>
  <c r="R49" i="2"/>
  <c r="Q49" i="2"/>
  <c r="P49" i="2"/>
  <c r="O49" i="2"/>
  <c r="N49" i="2"/>
  <c r="M49" i="2"/>
  <c r="F49" i="2"/>
  <c r="T48" i="2"/>
  <c r="S48" i="2"/>
  <c r="R48" i="2"/>
  <c r="Q48" i="2"/>
  <c r="P48" i="2"/>
  <c r="O48" i="2"/>
  <c r="N48" i="2"/>
  <c r="M48" i="2"/>
  <c r="F48" i="2"/>
  <c r="T47" i="2"/>
  <c r="S47" i="2"/>
  <c r="R47" i="2"/>
  <c r="Q47" i="2"/>
  <c r="P47" i="2"/>
  <c r="O47" i="2"/>
  <c r="N47" i="2"/>
  <c r="M47" i="2"/>
  <c r="F47" i="2"/>
  <c r="T46" i="2"/>
  <c r="S46" i="2"/>
  <c r="R46" i="2"/>
  <c r="Q46" i="2"/>
  <c r="P46" i="2"/>
  <c r="O46" i="2"/>
  <c r="N46" i="2"/>
  <c r="M46" i="2"/>
  <c r="F46" i="2"/>
  <c r="T45" i="2"/>
  <c r="S45" i="2"/>
  <c r="R45" i="2"/>
  <c r="Q45" i="2"/>
  <c r="P45" i="2"/>
  <c r="O45" i="2"/>
  <c r="N45" i="2"/>
  <c r="M45" i="2"/>
  <c r="F45" i="2"/>
  <c r="T44" i="2"/>
  <c r="S44" i="2"/>
  <c r="R44" i="2"/>
  <c r="Q44" i="2"/>
  <c r="P44" i="2"/>
  <c r="O44" i="2"/>
  <c r="N44" i="2"/>
  <c r="M44" i="2"/>
  <c r="F44" i="2"/>
  <c r="T43" i="2"/>
  <c r="S43" i="2"/>
  <c r="R43" i="2"/>
  <c r="Q43" i="2"/>
  <c r="P43" i="2"/>
  <c r="O43" i="2"/>
  <c r="N43" i="2"/>
  <c r="M43" i="2"/>
  <c r="F43" i="2"/>
  <c r="T42" i="2"/>
  <c r="S42" i="2"/>
  <c r="R42" i="2"/>
  <c r="Q42" i="2"/>
  <c r="P42" i="2"/>
  <c r="O42" i="2"/>
  <c r="N42" i="2"/>
  <c r="M42" i="2"/>
  <c r="F42" i="2"/>
  <c r="T41" i="2"/>
  <c r="S41" i="2"/>
  <c r="R41" i="2"/>
  <c r="Q41" i="2"/>
  <c r="P41" i="2"/>
  <c r="O41" i="2"/>
  <c r="N41" i="2"/>
  <c r="M41" i="2"/>
  <c r="F41" i="2"/>
  <c r="T40" i="2"/>
  <c r="S40" i="2"/>
  <c r="R40" i="2"/>
  <c r="Q40" i="2"/>
  <c r="P40" i="2"/>
  <c r="O40" i="2"/>
  <c r="N40" i="2"/>
  <c r="M40" i="2"/>
  <c r="F40" i="2"/>
  <c r="T39" i="2"/>
  <c r="S39" i="2"/>
  <c r="R39" i="2"/>
  <c r="Q39" i="2"/>
  <c r="P39" i="2"/>
  <c r="O39" i="2"/>
  <c r="N39" i="2"/>
  <c r="M39" i="2"/>
  <c r="F39" i="2"/>
  <c r="T38" i="2"/>
  <c r="S38" i="2"/>
  <c r="R38" i="2"/>
  <c r="Q38" i="2"/>
  <c r="P38" i="2"/>
  <c r="O38" i="2"/>
  <c r="N38" i="2"/>
  <c r="M38" i="2"/>
  <c r="F38" i="2"/>
  <c r="T37" i="2"/>
  <c r="S37" i="2"/>
  <c r="R37" i="2"/>
  <c r="Q37" i="2"/>
  <c r="P37" i="2"/>
  <c r="O37" i="2"/>
  <c r="N37" i="2"/>
  <c r="M37" i="2"/>
  <c r="F37" i="2"/>
  <c r="T36" i="2"/>
  <c r="S36" i="2"/>
  <c r="R36" i="2"/>
  <c r="Q36" i="2"/>
  <c r="P36" i="2"/>
  <c r="O36" i="2"/>
  <c r="N36" i="2"/>
  <c r="M36" i="2"/>
  <c r="F36" i="2"/>
  <c r="T35" i="2"/>
  <c r="S35" i="2"/>
  <c r="R35" i="2"/>
  <c r="Q35" i="2"/>
  <c r="P35" i="2"/>
  <c r="O35" i="2"/>
  <c r="N35" i="2"/>
  <c r="M35" i="2"/>
  <c r="F35" i="2"/>
  <c r="T34" i="2"/>
  <c r="S34" i="2"/>
  <c r="R34" i="2"/>
  <c r="Q34" i="2"/>
  <c r="P34" i="2"/>
  <c r="O34" i="2"/>
  <c r="N34" i="2"/>
  <c r="M34" i="2"/>
  <c r="F34" i="2"/>
  <c r="T33" i="2"/>
  <c r="S33" i="2"/>
  <c r="R33" i="2"/>
  <c r="Q33" i="2"/>
  <c r="P33" i="2"/>
  <c r="O33" i="2"/>
  <c r="N33" i="2"/>
  <c r="M33" i="2"/>
  <c r="F33" i="2"/>
  <c r="T32" i="2"/>
  <c r="S32" i="2"/>
  <c r="R32" i="2"/>
  <c r="Q32" i="2"/>
  <c r="P32" i="2"/>
  <c r="O32" i="2"/>
  <c r="N32" i="2"/>
  <c r="M32" i="2"/>
  <c r="F32" i="2"/>
  <c r="T31" i="2"/>
  <c r="S31" i="2"/>
  <c r="R31" i="2"/>
  <c r="Q31" i="2"/>
  <c r="P31" i="2"/>
  <c r="O31" i="2"/>
  <c r="N31" i="2"/>
  <c r="M31" i="2"/>
  <c r="F31" i="2"/>
  <c r="T30" i="2"/>
  <c r="S30" i="2"/>
  <c r="R30" i="2"/>
  <c r="Q30" i="2"/>
  <c r="P30" i="2"/>
  <c r="O30" i="2"/>
  <c r="N30" i="2"/>
  <c r="M30" i="2"/>
  <c r="F30" i="2"/>
  <c r="T29" i="2"/>
  <c r="S29" i="2"/>
  <c r="R29" i="2"/>
  <c r="Q29" i="2"/>
  <c r="P29" i="2"/>
  <c r="O29" i="2"/>
  <c r="N29" i="2"/>
  <c r="M29" i="2"/>
  <c r="F29" i="2"/>
  <c r="T28" i="2"/>
  <c r="S28" i="2"/>
  <c r="R28" i="2"/>
  <c r="Q28" i="2"/>
  <c r="P28" i="2"/>
  <c r="O28" i="2"/>
  <c r="N28" i="2"/>
  <c r="M28" i="2"/>
  <c r="F28" i="2"/>
  <c r="T27" i="2"/>
  <c r="S27" i="2"/>
  <c r="R27" i="2"/>
  <c r="Q27" i="2"/>
  <c r="P27" i="2"/>
  <c r="O27" i="2"/>
  <c r="N27" i="2"/>
  <c r="M27" i="2"/>
  <c r="F27" i="2"/>
  <c r="T26" i="2"/>
  <c r="S26" i="2"/>
  <c r="R26" i="2"/>
  <c r="Q26" i="2"/>
  <c r="P26" i="2"/>
  <c r="O26" i="2"/>
  <c r="N26" i="2"/>
  <c r="M26" i="2"/>
  <c r="F26" i="2"/>
  <c r="T25" i="2"/>
  <c r="S25" i="2"/>
  <c r="R25" i="2"/>
  <c r="Q25" i="2"/>
  <c r="P25" i="2"/>
  <c r="O25" i="2"/>
  <c r="N25" i="2"/>
  <c r="M25" i="2"/>
  <c r="F25" i="2"/>
  <c r="T24" i="2"/>
  <c r="S24" i="2"/>
  <c r="R24" i="2"/>
  <c r="Q24" i="2"/>
  <c r="P24" i="2"/>
  <c r="O24" i="2"/>
  <c r="N24" i="2"/>
  <c r="M24" i="2"/>
  <c r="F24" i="2"/>
  <c r="T23" i="2"/>
  <c r="S23" i="2"/>
  <c r="R23" i="2"/>
  <c r="Q23" i="2"/>
  <c r="P23" i="2"/>
  <c r="O23" i="2"/>
  <c r="N23" i="2"/>
  <c r="M23" i="2"/>
  <c r="F23" i="2"/>
  <c r="T22" i="2"/>
  <c r="S22" i="2"/>
  <c r="R22" i="2"/>
  <c r="Q22" i="2"/>
  <c r="P22" i="2"/>
  <c r="O22" i="2"/>
  <c r="N22" i="2"/>
  <c r="M22" i="2"/>
  <c r="F22" i="2"/>
  <c r="T21" i="2"/>
  <c r="S21" i="2"/>
  <c r="R21" i="2"/>
  <c r="Q21" i="2"/>
  <c r="P21" i="2"/>
  <c r="O21" i="2"/>
  <c r="N21" i="2"/>
  <c r="M21" i="2"/>
  <c r="F21" i="2"/>
  <c r="T20" i="2"/>
  <c r="S20" i="2"/>
  <c r="R20" i="2"/>
  <c r="Q20" i="2"/>
  <c r="P20" i="2"/>
  <c r="O20" i="2"/>
  <c r="N20" i="2"/>
  <c r="M20" i="2"/>
  <c r="F20" i="2"/>
  <c r="T19" i="2"/>
  <c r="S19" i="2"/>
  <c r="R19" i="2"/>
  <c r="Q19" i="2"/>
  <c r="P19" i="2"/>
  <c r="O19" i="2"/>
  <c r="N19" i="2"/>
  <c r="M19" i="2"/>
  <c r="F19" i="2"/>
  <c r="T18" i="2"/>
  <c r="S18" i="2"/>
  <c r="R18" i="2"/>
  <c r="Q18" i="2"/>
  <c r="P18" i="2"/>
  <c r="O18" i="2"/>
  <c r="N18" i="2"/>
  <c r="M18" i="2"/>
  <c r="F18" i="2"/>
  <c r="T17" i="2"/>
  <c r="S17" i="2"/>
  <c r="R17" i="2"/>
  <c r="Q17" i="2"/>
  <c r="P17" i="2"/>
  <c r="O17" i="2"/>
  <c r="N17" i="2"/>
  <c r="M17" i="2"/>
  <c r="F17" i="2"/>
  <c r="T16" i="2"/>
  <c r="S16" i="2"/>
  <c r="R16" i="2"/>
  <c r="Q16" i="2"/>
  <c r="P16" i="2"/>
  <c r="O16" i="2"/>
  <c r="N16" i="2"/>
  <c r="M16" i="2"/>
  <c r="F16" i="2"/>
  <c r="T15" i="2"/>
  <c r="S15" i="2"/>
  <c r="R15" i="2"/>
  <c r="Q15" i="2"/>
  <c r="P15" i="2"/>
  <c r="O15" i="2"/>
  <c r="N15" i="2"/>
  <c r="M15" i="2"/>
  <c r="F15" i="2"/>
  <c r="T14" i="2"/>
  <c r="S14" i="2"/>
  <c r="R14" i="2"/>
  <c r="Q14" i="2"/>
  <c r="P14" i="2"/>
  <c r="O14" i="2"/>
  <c r="N14" i="2"/>
  <c r="M14" i="2"/>
  <c r="F14" i="2"/>
  <c r="T13" i="2"/>
  <c r="S13" i="2"/>
  <c r="R13" i="2"/>
  <c r="Q13" i="2"/>
  <c r="P13" i="2"/>
  <c r="O13" i="2"/>
  <c r="N13" i="2"/>
  <c r="M13" i="2"/>
  <c r="F13" i="2"/>
  <c r="T12" i="2"/>
  <c r="S12" i="2"/>
  <c r="R12" i="2"/>
  <c r="Q12" i="2"/>
  <c r="P12" i="2"/>
  <c r="O12" i="2"/>
  <c r="N12" i="2"/>
  <c r="M12" i="2"/>
  <c r="F12" i="2"/>
  <c r="T11" i="2"/>
  <c r="S11" i="2"/>
  <c r="R11" i="2"/>
  <c r="Q11" i="2"/>
  <c r="P11" i="2"/>
  <c r="O11" i="2"/>
  <c r="N11" i="2"/>
  <c r="M11" i="2"/>
  <c r="F11" i="2"/>
  <c r="T10" i="2"/>
  <c r="S10" i="2"/>
  <c r="R10" i="2"/>
  <c r="Q10" i="2"/>
  <c r="P10" i="2"/>
  <c r="O10" i="2"/>
  <c r="N10" i="2"/>
  <c r="M10" i="2"/>
  <c r="F10" i="2"/>
  <c r="T9" i="2"/>
  <c r="S9" i="2"/>
  <c r="R9" i="2"/>
  <c r="Q9" i="2"/>
  <c r="P9" i="2"/>
  <c r="O9" i="2"/>
  <c r="N9" i="2"/>
  <c r="M9" i="2"/>
  <c r="F9" i="2"/>
  <c r="T8" i="2"/>
  <c r="S8" i="2"/>
  <c r="R8" i="2"/>
  <c r="Q8" i="2"/>
  <c r="P8" i="2"/>
  <c r="O8" i="2"/>
  <c r="N8" i="2"/>
  <c r="M8" i="2"/>
  <c r="F8" i="2"/>
  <c r="T7" i="2"/>
  <c r="S7" i="2"/>
  <c r="R7" i="2"/>
  <c r="Q7" i="2"/>
  <c r="P7" i="2"/>
  <c r="O7" i="2"/>
  <c r="N7" i="2"/>
  <c r="M7" i="2"/>
  <c r="F7" i="2"/>
  <c r="T6" i="2"/>
  <c r="S6" i="2"/>
  <c r="R6" i="2"/>
  <c r="Q6" i="2"/>
  <c r="P6" i="2"/>
  <c r="O6" i="2"/>
  <c r="N6" i="2"/>
  <c r="M6" i="2"/>
  <c r="F6" i="2"/>
  <c r="T5" i="2"/>
  <c r="S5" i="2"/>
  <c r="R5" i="2"/>
  <c r="Q5" i="2"/>
  <c r="P5" i="2"/>
  <c r="O5" i="2"/>
  <c r="N5" i="2"/>
  <c r="M5" i="2"/>
  <c r="F5" i="2"/>
  <c r="T4" i="2"/>
  <c r="S4" i="2"/>
  <c r="R4" i="2"/>
  <c r="Q4" i="2"/>
  <c r="P4" i="2"/>
  <c r="O4" i="2"/>
  <c r="N4" i="2"/>
  <c r="M4" i="2"/>
  <c r="F4" i="2"/>
  <c r="T3" i="2"/>
  <c r="S3" i="2"/>
  <c r="R3" i="2"/>
  <c r="Q3" i="2"/>
  <c r="P3" i="2"/>
  <c r="O3" i="2"/>
  <c r="N3" i="2"/>
  <c r="M3" i="2"/>
  <c r="F3" i="2"/>
  <c r="T2" i="2"/>
  <c r="S2" i="2"/>
  <c r="R2" i="2"/>
  <c r="Q2" i="2"/>
  <c r="P2" i="2"/>
  <c r="O2" i="2"/>
  <c r="N2" i="2"/>
  <c r="M2" i="2"/>
  <c r="F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100-000014000000}">
      <text>
        <r>
          <rPr>
            <sz val="10"/>
            <color rgb="FF000000"/>
            <rFont val="Arial"/>
            <scheme val="minor"/>
          </rPr>
          <t xml:space="preserve">Neutrophil-to-Lymphocyte Ratio
Formula: Neutrophils / Lymphocytes
</t>
        </r>
      </text>
    </comment>
    <comment ref="N1" authorId="0" shapeId="0" xr:uid="{00000000-0006-0000-0100-000015000000}">
      <text>
        <r>
          <rPr>
            <sz val="10"/>
            <color rgb="FF000000"/>
            <rFont val="Arial"/>
            <scheme val="minor"/>
          </rPr>
          <t>Platelet-to-Lymphocyte Ratio
Formula: Platelets / Lymphocytes</t>
        </r>
      </text>
    </comment>
    <comment ref="O1" authorId="0" shapeId="0" xr:uid="{00000000-0006-0000-0100-000016000000}">
      <text>
        <r>
          <rPr>
            <sz val="10"/>
            <color rgb="FF000000"/>
            <rFont val="Arial"/>
            <scheme val="minor"/>
          </rPr>
          <t xml:space="preserve">Monocyte-to-Lymphocyte Ratio
Formula: Monocytes / Lymphocytes
</t>
        </r>
      </text>
    </comment>
    <comment ref="P1" authorId="0" shapeId="0" xr:uid="{00000000-0006-0000-0100-000017000000}">
      <text>
        <r>
          <rPr>
            <sz val="10"/>
            <color rgb="FF000000"/>
            <rFont val="Arial"/>
            <scheme val="minor"/>
          </rPr>
          <t xml:space="preserve">Eosinophil-to-Lymphocyte Ratio
Formula: Eosinophils / Lymphocytes
</t>
        </r>
      </text>
    </comment>
    <comment ref="Q1" authorId="0" shapeId="0" xr:uid="{00000000-0006-0000-0100-000018000000}">
      <text>
        <r>
          <rPr>
            <sz val="10"/>
            <color rgb="FF000000"/>
            <rFont val="Arial"/>
            <scheme val="minor"/>
          </rPr>
          <t>Systemic Immune-Inflammation Index
Formula: (Neutrophils / Lymphocytes) × Platelets
aka Neutrophil-to-Lymphocyte × Platelet Ratio</t>
        </r>
      </text>
    </comment>
    <comment ref="R1" authorId="0" shapeId="0" xr:uid="{00000000-0006-0000-0100-000019000000}">
      <text>
        <r>
          <rPr>
            <sz val="10"/>
            <color rgb="FF000000"/>
            <rFont val="Arial"/>
            <scheme val="minor"/>
          </rPr>
          <t>Systemic Inflammation Response Index
Formula: (Neutrophils × Monocytes) / Lymphocytes</t>
        </r>
      </text>
    </comment>
    <comment ref="S1" authorId="0" shapeId="0" xr:uid="{00000000-0006-0000-0100-00001A000000}">
      <text>
        <r>
          <rPr>
            <sz val="10"/>
            <color rgb="FF000000"/>
            <rFont val="Arial"/>
            <scheme val="minor"/>
          </rPr>
          <t>Lymphocyte-to-Monocyte Ratio
Formula: Lymphocytes / Monocytes</t>
        </r>
      </text>
    </comment>
    <comment ref="T1" authorId="0" shapeId="0" xr:uid="{00000000-0006-0000-0100-00001B000000}">
      <text>
        <r>
          <rPr>
            <sz val="10"/>
            <color rgb="FF000000"/>
            <rFont val="Arial"/>
            <scheme val="minor"/>
          </rPr>
          <t>Pan-Immune-Inflammation Value
Formula: (Neutrophils × Monocytes × Platelets) / Lymphocytes
aka AISI Aggregate Index of Systemic Inflammation</t>
        </r>
      </text>
    </comment>
    <comment ref="V1" authorId="0" shapeId="0" xr:uid="{00000000-0006-0000-0100-00001F000000}">
      <text>
        <r>
          <rPr>
            <sz val="10"/>
            <color rgb="FF000000"/>
            <rFont val="Arial"/>
            <scheme val="minor"/>
          </rPr>
          <t>TH: total hysterectomy
BSO: bilateral salpingo-ophorectomy
RR: rectal resection
LND: lymphadenectomy
LNS: sentinel
IR: intestinal resection
O: omentectomy
A: appendectomy
LB: lymphnode biopsy
PB: peritoneal biopsy</t>
        </r>
      </text>
    </comment>
    <comment ref="W1" authorId="0" shapeId="0" xr:uid="{00000000-0006-0000-0100-000020000000}">
      <text>
        <r>
          <rPr>
            <sz val="10"/>
            <color rgb="FF000000"/>
            <rFont val="Arial"/>
            <scheme val="minor"/>
          </rPr>
          <t>STUMP consideriamo come sarcomi
ESS: sarcoma dello stroma endometriale (LG low grade)
LMS: leiomiosarcoma
E-LMS: leiomiosarcoma epitelioide
D-LMS: leiomiosarcoma dedifferenziato
ADS: adenosarcoma
IS: sarcoma indifferenziato
OS: ovarian sarcoma
CS: carcinosarcoma
S: sarcoma
RMS: rbdomiosarcoma</t>
        </r>
      </text>
    </comment>
  </commentList>
</comments>
</file>

<file path=xl/sharedStrings.xml><?xml version="1.0" encoding="utf-8"?>
<sst xmlns="http://schemas.openxmlformats.org/spreadsheetml/2006/main" count="423" uniqueCount="217">
  <si>
    <t>ID</t>
  </si>
  <si>
    <t>Surname</t>
  </si>
  <si>
    <t>Name</t>
  </si>
  <si>
    <t>CS</t>
  </si>
  <si>
    <t>Date of birth</t>
  </si>
  <si>
    <t>Age at diagnosis</t>
  </si>
  <si>
    <t>Preop exams data</t>
  </si>
  <si>
    <t>Platelets</t>
  </si>
  <si>
    <t>Neutrophils</t>
  </si>
  <si>
    <t>Eosinophils</t>
  </si>
  <si>
    <t>Monocytes</t>
  </si>
  <si>
    <t>Lymphocytes</t>
  </si>
  <si>
    <t>NLR</t>
  </si>
  <si>
    <t>PLR</t>
  </si>
  <si>
    <t>MLR</t>
  </si>
  <si>
    <t>ELR</t>
  </si>
  <si>
    <t>SII</t>
  </si>
  <si>
    <t>SIRI</t>
  </si>
  <si>
    <t>LMR</t>
  </si>
  <si>
    <t>PIV</t>
  </si>
  <si>
    <t>Surgery data</t>
  </si>
  <si>
    <t>Type of surgery</t>
  </si>
  <si>
    <t>Histology</t>
  </si>
  <si>
    <t>Monica</t>
  </si>
  <si>
    <t>TH+BSO</t>
  </si>
  <si>
    <t>TH</t>
  </si>
  <si>
    <t>Daniela</t>
  </si>
  <si>
    <t>TH+MSO</t>
  </si>
  <si>
    <t>Maria Teresa</t>
  </si>
  <si>
    <t>Elisa</t>
  </si>
  <si>
    <t>Myomectomy</t>
  </si>
  <si>
    <t>Serena</t>
  </si>
  <si>
    <t>Barbara</t>
  </si>
  <si>
    <t>Paola</t>
  </si>
  <si>
    <t>Carmela</t>
  </si>
  <si>
    <t>STH+BSO</t>
  </si>
  <si>
    <t>Laura</t>
  </si>
  <si>
    <t>Antonella</t>
  </si>
  <si>
    <t>Ricci</t>
  </si>
  <si>
    <t>Romina</t>
  </si>
  <si>
    <t>Giuseppina</t>
  </si>
  <si>
    <t>Rosa</t>
  </si>
  <si>
    <t>Alessia</t>
  </si>
  <si>
    <t>Marta</t>
  </si>
  <si>
    <t>Rossella</t>
  </si>
  <si>
    <t>Esposito</t>
  </si>
  <si>
    <t>Claudia</t>
  </si>
  <si>
    <t>Marisa</t>
  </si>
  <si>
    <t>Roberta</t>
  </si>
  <si>
    <t>Silvia</t>
  </si>
  <si>
    <t>Bouatia</t>
  </si>
  <si>
    <t>Hanane</t>
  </si>
  <si>
    <t>Crisanti</t>
  </si>
  <si>
    <t>Maria Luisa</t>
  </si>
  <si>
    <t>Ferreira Dos Santos</t>
  </si>
  <si>
    <t>Carmen Lucia</t>
  </si>
  <si>
    <t>De Rossi</t>
  </si>
  <si>
    <t>Facchini</t>
  </si>
  <si>
    <t>Marzia</t>
  </si>
  <si>
    <t>Federici</t>
  </si>
  <si>
    <t>Bernardina</t>
  </si>
  <si>
    <t>Gonzalez</t>
  </si>
  <si>
    <t>Zhaila</t>
  </si>
  <si>
    <t>Abate</t>
  </si>
  <si>
    <t>Sabrina</t>
  </si>
  <si>
    <t>Lovallo</t>
  </si>
  <si>
    <t>Placidi</t>
  </si>
  <si>
    <t>Maria Grazia</t>
  </si>
  <si>
    <t>LM cellulato</t>
  </si>
  <si>
    <t>Acampora</t>
  </si>
  <si>
    <t>Maria Rosaria</t>
  </si>
  <si>
    <t>Allushi</t>
  </si>
  <si>
    <t>Engjellushe</t>
  </si>
  <si>
    <t>Caracciolo</t>
  </si>
  <si>
    <t>Luisella</t>
  </si>
  <si>
    <t>LM apoplettico</t>
  </si>
  <si>
    <t>Gallese</t>
  </si>
  <si>
    <t>Anatolia</t>
  </si>
  <si>
    <t>LM con aree di degenerazione ialina ed idropica</t>
  </si>
  <si>
    <t>Scarabeo</t>
  </si>
  <si>
    <t>Federica</t>
  </si>
  <si>
    <t>Piteo</t>
  </si>
  <si>
    <t>Rosaria</t>
  </si>
  <si>
    <t>Narduzzi</t>
  </si>
  <si>
    <t>Cinzia</t>
  </si>
  <si>
    <t>STH</t>
  </si>
  <si>
    <t>LM</t>
  </si>
  <si>
    <t>Giannone</t>
  </si>
  <si>
    <t>Magmanlac</t>
  </si>
  <si>
    <t>Argie Pereyra</t>
  </si>
  <si>
    <t>Natale</t>
  </si>
  <si>
    <t>Morano</t>
  </si>
  <si>
    <t>Boni</t>
  </si>
  <si>
    <t>LM + Brenner benigno</t>
  </si>
  <si>
    <t>Carlini</t>
  </si>
  <si>
    <t>Tosti</t>
  </si>
  <si>
    <t>Michela</t>
  </si>
  <si>
    <t>Valvona</t>
  </si>
  <si>
    <t>Apicella</t>
  </si>
  <si>
    <t>Di Donna</t>
  </si>
  <si>
    <t>Nicoletti</t>
  </si>
  <si>
    <t>Noemi Roberta</t>
  </si>
  <si>
    <t>Clemente</t>
  </si>
  <si>
    <t>Melania</t>
  </si>
  <si>
    <t>Gabrielli</t>
  </si>
  <si>
    <t>Sara</t>
  </si>
  <si>
    <t>Schietroma</t>
  </si>
  <si>
    <t>LM + teratoma maturo</t>
  </si>
  <si>
    <t>Tagliavini</t>
  </si>
  <si>
    <t>Badaluta</t>
  </si>
  <si>
    <t>Irina Nicoleta</t>
  </si>
  <si>
    <t>Bussetti</t>
  </si>
  <si>
    <t>Alessandra</t>
  </si>
  <si>
    <t>Greco</t>
  </si>
  <si>
    <t>Adelaide</t>
  </si>
  <si>
    <t>LM (flogosi cronica periuterina da corpo estraneo</t>
  </si>
  <si>
    <t>Rendina</t>
  </si>
  <si>
    <t>Eleonora</t>
  </si>
  <si>
    <t>Ilacqua</t>
  </si>
  <si>
    <t>Fortunata</t>
  </si>
  <si>
    <t>Di Schiavi</t>
  </si>
  <si>
    <t>Martina</t>
  </si>
  <si>
    <t>Vinti</t>
  </si>
  <si>
    <t>Alexandra</t>
  </si>
  <si>
    <t>Nicoliello</t>
  </si>
  <si>
    <t>Maria Felicia</t>
  </si>
  <si>
    <t>Gisci</t>
  </si>
  <si>
    <t>Gigliola</t>
  </si>
  <si>
    <t>Ippoliti</t>
  </si>
  <si>
    <t>Ragusa</t>
  </si>
  <si>
    <t>Candida</t>
  </si>
  <si>
    <t>Viri</t>
  </si>
  <si>
    <t>Maria Letizia</t>
  </si>
  <si>
    <t>Guidi</t>
  </si>
  <si>
    <t>Norma</t>
  </si>
  <si>
    <t>Capogna</t>
  </si>
  <si>
    <t>Gazzaruso</t>
  </si>
  <si>
    <t>Miele</t>
  </si>
  <si>
    <t>Amadio</t>
  </si>
  <si>
    <t>Pagliaccia</t>
  </si>
  <si>
    <t>Verginia</t>
  </si>
  <si>
    <t>Scargiali</t>
  </si>
  <si>
    <t>Quintiliani</t>
  </si>
  <si>
    <t>Chiara</t>
  </si>
  <si>
    <t>Giannantonio</t>
  </si>
  <si>
    <t>Tocco</t>
  </si>
  <si>
    <t>Vanessa</t>
  </si>
  <si>
    <t>Amato</t>
  </si>
  <si>
    <t>Colaci</t>
  </si>
  <si>
    <t>Macchia</t>
  </si>
  <si>
    <t>Fabiola</t>
  </si>
  <si>
    <t>Pappada'</t>
  </si>
  <si>
    <t>Sica</t>
  </si>
  <si>
    <t>Veroli</t>
  </si>
  <si>
    <t>Anna Maria</t>
  </si>
  <si>
    <t>D'Anello</t>
  </si>
  <si>
    <t>Emanuela</t>
  </si>
  <si>
    <t>Manieri</t>
  </si>
  <si>
    <t>Maria Genoveffa</t>
  </si>
  <si>
    <t>Boccia</t>
  </si>
  <si>
    <t>Serena Maria</t>
  </si>
  <si>
    <t>Picone</t>
  </si>
  <si>
    <t>Carla</t>
  </si>
  <si>
    <t>TSH+BSO</t>
  </si>
  <si>
    <t>Lucci</t>
  </si>
  <si>
    <t>Iovine</t>
  </si>
  <si>
    <t>Santina</t>
  </si>
  <si>
    <t>Rotini</t>
  </si>
  <si>
    <t>Carpino</t>
  </si>
  <si>
    <t>Marialetizia</t>
  </si>
  <si>
    <t>Battaglia</t>
  </si>
  <si>
    <t>Belli</t>
  </si>
  <si>
    <t>Emma</t>
  </si>
  <si>
    <t>Marozza</t>
  </si>
  <si>
    <t>Barbato</t>
  </si>
  <si>
    <t>Vanni</t>
  </si>
  <si>
    <t>Rosanna</t>
  </si>
  <si>
    <t>Gallusi</t>
  </si>
  <si>
    <t>Giulia</t>
  </si>
  <si>
    <t>Giovannetti</t>
  </si>
  <si>
    <t>Zichichi</t>
  </si>
  <si>
    <t>Roberta Artemisia</t>
  </si>
  <si>
    <t>Nobile</t>
  </si>
  <si>
    <t>Cucciniello</t>
  </si>
  <si>
    <t>Pistoni</t>
  </si>
  <si>
    <t>Luka</t>
  </si>
  <si>
    <t>Neenu</t>
  </si>
  <si>
    <t>Rulli</t>
  </si>
  <si>
    <t>Giacinta</t>
  </si>
  <si>
    <t>Martire</t>
  </si>
  <si>
    <t>De Marchis</t>
  </si>
  <si>
    <t>Marcella</t>
  </si>
  <si>
    <t>Mazzetti</t>
  </si>
  <si>
    <t>Samanta</t>
  </si>
  <si>
    <t>Rexho</t>
  </si>
  <si>
    <t>Halime</t>
  </si>
  <si>
    <t>Corazza</t>
  </si>
  <si>
    <t>Noemi</t>
  </si>
  <si>
    <t>De Luna</t>
  </si>
  <si>
    <t>Alcaro</t>
  </si>
  <si>
    <t>Teresa</t>
  </si>
  <si>
    <t>D'Andrea</t>
  </si>
  <si>
    <t>Annalisa</t>
  </si>
  <si>
    <t>Rotaru</t>
  </si>
  <si>
    <t>Georgiana Mihaela</t>
  </si>
  <si>
    <t>Altobelli</t>
  </si>
  <si>
    <t>Melissari</t>
  </si>
  <si>
    <t>Dalila</t>
  </si>
  <si>
    <t>Marianna</t>
  </si>
  <si>
    <t>Cuevas Cuevas De Sanchez</t>
  </si>
  <si>
    <t>Vianna</t>
  </si>
  <si>
    <t>Cassotta</t>
  </si>
  <si>
    <t>Luigia Innocenza</t>
  </si>
  <si>
    <t>Ciampini</t>
  </si>
  <si>
    <t>Iorio</t>
  </si>
  <si>
    <t>Ida</t>
  </si>
  <si>
    <t>Carbone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</si>
</sst>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e" xfId="0" builtinId="0"/>
  </cellStyles>
  <dxfs count="17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103"/>
  <sheetViews>
    <sheetView tabSelected="1" workbookViewId="0">
      <pane xSplit="5" ySplit="1" topLeftCell="F14" activePane="bottomRight" state="frozen"/>
      <selection pane="topRight" activeCell="F1" sqref="F1"/>
      <selection pane="bottomLeft" activeCell="A2" sqref="A2"/>
      <selection pane="bottomRight" activeCell="A99" sqref="A99"/>
    </sheetView>
  </sheetViews>
  <sheetFormatPr defaultColWidth="12.59765625" defaultRowHeight="15.75" customHeight="1" x14ac:dyDescent="0.35"/>
  <cols>
    <col min="1" max="1" width="2.59765625" customWidth="1"/>
    <col min="7" max="7" width="14.46484375" customWidth="1"/>
    <col min="8" max="8" width="7.3984375" customWidth="1"/>
    <col min="9" max="9" width="9.3984375" customWidth="1"/>
    <col min="10" max="10" width="9.46484375" customWidth="1"/>
    <col min="11" max="11" width="9" customWidth="1"/>
    <col min="12" max="12" width="10.73046875" customWidth="1"/>
    <col min="13" max="20" width="6.46484375" customWidth="1"/>
  </cols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5">
      <c r="A2" s="7"/>
      <c r="B2" s="7" t="s">
        <v>50</v>
      </c>
      <c r="C2" s="7" t="s">
        <v>51</v>
      </c>
      <c r="D2" s="7">
        <v>25311317</v>
      </c>
      <c r="E2" s="11">
        <v>28786</v>
      </c>
      <c r="F2" s="9">
        <f>DATEDIF(E2, U2, "Y")</f>
        <v>45</v>
      </c>
      <c r="G2" s="11">
        <v>45278</v>
      </c>
      <c r="H2" s="7">
        <v>276</v>
      </c>
      <c r="I2" s="7">
        <v>3.5</v>
      </c>
      <c r="J2" s="7">
        <v>0.12</v>
      </c>
      <c r="K2" s="7">
        <v>0.37</v>
      </c>
      <c r="L2" s="7">
        <v>1.96</v>
      </c>
      <c r="M2" s="10">
        <f t="shared" ref="M2:M101" si="0">I2/L2</f>
        <v>1.7857142857142858</v>
      </c>
      <c r="N2" s="10">
        <f t="shared" ref="N2:N101" si="1">H2/L2</f>
        <v>140.81632653061226</v>
      </c>
      <c r="O2" s="10">
        <f t="shared" ref="O2:O101" si="2">K2/L2</f>
        <v>0.18877551020408162</v>
      </c>
      <c r="P2" s="10">
        <f t="shared" ref="P2:P101" si="3">J2/L2</f>
        <v>6.1224489795918366E-2</v>
      </c>
      <c r="Q2" s="10">
        <f t="shared" ref="Q2:Q101" si="4">(I2*H2)/L2</f>
        <v>492.85714285714289</v>
      </c>
      <c r="R2" s="10">
        <f t="shared" ref="R2:R101" si="5">(I2*K2)/L2</f>
        <v>0.6607142857142857</v>
      </c>
      <c r="S2" s="10">
        <f t="shared" ref="S2:S101" si="6">L2/K2</f>
        <v>5.2972972972972974</v>
      </c>
      <c r="T2" s="10">
        <f t="shared" ref="T2:T101" si="7">(I2*K2*H2)/L2</f>
        <v>182.35714285714283</v>
      </c>
      <c r="U2" s="8">
        <v>45293</v>
      </c>
      <c r="V2" s="7" t="s">
        <v>25</v>
      </c>
      <c r="W2" s="7" t="s">
        <v>86</v>
      </c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35">
      <c r="A3" s="7"/>
      <c r="B3" s="7" t="s">
        <v>52</v>
      </c>
      <c r="C3" s="7" t="s">
        <v>36</v>
      </c>
      <c r="D3" s="7">
        <v>10539773</v>
      </c>
      <c r="E3" s="8">
        <v>25482</v>
      </c>
      <c r="F3" s="9">
        <f>DATEDIF(E3, U3, "Y")</f>
        <v>54</v>
      </c>
      <c r="G3" s="11">
        <v>45226</v>
      </c>
      <c r="H3" s="7">
        <v>249</v>
      </c>
      <c r="I3" s="7">
        <v>4.3600000000000003</v>
      </c>
      <c r="J3" s="7">
        <v>0.28999999999999998</v>
      </c>
      <c r="K3" s="7">
        <v>0.38</v>
      </c>
      <c r="L3" s="7">
        <v>2.1800000000000002</v>
      </c>
      <c r="M3" s="10">
        <f t="shared" si="0"/>
        <v>2</v>
      </c>
      <c r="N3" s="10">
        <f t="shared" si="1"/>
        <v>114.22018348623853</v>
      </c>
      <c r="O3" s="10">
        <f t="shared" si="2"/>
        <v>0.17431192660550457</v>
      </c>
      <c r="P3" s="10">
        <f t="shared" si="3"/>
        <v>0.1330275229357798</v>
      </c>
      <c r="Q3" s="10">
        <f t="shared" si="4"/>
        <v>498</v>
      </c>
      <c r="R3" s="10">
        <f t="shared" si="5"/>
        <v>0.76</v>
      </c>
      <c r="S3" s="10">
        <f t="shared" si="6"/>
        <v>5.7368421052631584</v>
      </c>
      <c r="T3" s="10">
        <f t="shared" si="7"/>
        <v>189.23999999999998</v>
      </c>
      <c r="U3" s="8">
        <v>45293</v>
      </c>
      <c r="V3" s="7" t="s">
        <v>24</v>
      </c>
      <c r="W3" s="7" t="s">
        <v>86</v>
      </c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35">
      <c r="A4" s="7"/>
      <c r="B4" s="7" t="s">
        <v>45</v>
      </c>
      <c r="C4" s="7" t="s">
        <v>53</v>
      </c>
      <c r="D4" s="7">
        <v>21802012</v>
      </c>
      <c r="E4" s="11">
        <v>27391</v>
      </c>
      <c r="F4" s="9">
        <f>DATEDIF(E4, U4, "Y")</f>
        <v>49</v>
      </c>
      <c r="G4" s="11">
        <v>45254</v>
      </c>
      <c r="H4" s="7">
        <v>237</v>
      </c>
      <c r="I4" s="7">
        <v>5.23</v>
      </c>
      <c r="J4" s="7">
        <v>0.02</v>
      </c>
      <c r="K4" s="7">
        <v>0.39</v>
      </c>
      <c r="L4" s="7">
        <v>2.31</v>
      </c>
      <c r="M4" s="10">
        <f t="shared" si="0"/>
        <v>2.2640692640692643</v>
      </c>
      <c r="N4" s="10">
        <f t="shared" si="1"/>
        <v>102.59740259740259</v>
      </c>
      <c r="O4" s="10">
        <f t="shared" si="2"/>
        <v>0.16883116883116883</v>
      </c>
      <c r="P4" s="10">
        <f t="shared" si="3"/>
        <v>8.658008658008658E-3</v>
      </c>
      <c r="Q4" s="10">
        <f t="shared" si="4"/>
        <v>536.58441558441552</v>
      </c>
      <c r="R4" s="10">
        <f t="shared" si="5"/>
        <v>0.8829870129870131</v>
      </c>
      <c r="S4" s="10">
        <f t="shared" si="6"/>
        <v>5.9230769230769234</v>
      </c>
      <c r="T4" s="10">
        <f t="shared" si="7"/>
        <v>209.26792207792209</v>
      </c>
      <c r="U4" s="8">
        <v>45293</v>
      </c>
      <c r="V4" s="7" t="s">
        <v>24</v>
      </c>
      <c r="W4" s="7" t="s">
        <v>86</v>
      </c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35">
      <c r="A5" s="7"/>
      <c r="B5" s="7" t="s">
        <v>54</v>
      </c>
      <c r="C5" s="7" t="s">
        <v>55</v>
      </c>
      <c r="D5" s="7">
        <v>46570883</v>
      </c>
      <c r="E5" s="8">
        <v>27112</v>
      </c>
      <c r="F5" s="9">
        <f>DATEDIF(E5, U5, "Y")</f>
        <v>49</v>
      </c>
      <c r="G5" s="11">
        <v>45226</v>
      </c>
      <c r="H5" s="7">
        <v>273</v>
      </c>
      <c r="I5" s="7">
        <v>5.68</v>
      </c>
      <c r="J5" s="7">
        <v>7.0000000000000007E-2</v>
      </c>
      <c r="K5" s="7">
        <v>0.37</v>
      </c>
      <c r="L5" s="7">
        <v>2</v>
      </c>
      <c r="M5" s="10">
        <f t="shared" si="0"/>
        <v>2.84</v>
      </c>
      <c r="N5" s="10">
        <f t="shared" si="1"/>
        <v>136.5</v>
      </c>
      <c r="O5" s="10">
        <f t="shared" si="2"/>
        <v>0.185</v>
      </c>
      <c r="P5" s="10">
        <f t="shared" si="3"/>
        <v>3.5000000000000003E-2</v>
      </c>
      <c r="Q5" s="10">
        <f t="shared" si="4"/>
        <v>775.31999999999994</v>
      </c>
      <c r="R5" s="10">
        <f t="shared" si="5"/>
        <v>1.0508</v>
      </c>
      <c r="S5" s="10">
        <f t="shared" si="6"/>
        <v>5.4054054054054053</v>
      </c>
      <c r="T5" s="10">
        <f t="shared" si="7"/>
        <v>286.86840000000001</v>
      </c>
      <c r="U5" s="8">
        <v>45293</v>
      </c>
      <c r="V5" s="7" t="s">
        <v>25</v>
      </c>
      <c r="W5" s="7" t="s">
        <v>86</v>
      </c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35">
      <c r="A6" s="7"/>
      <c r="B6" s="7" t="s">
        <v>56</v>
      </c>
      <c r="C6" s="7" t="s">
        <v>43</v>
      </c>
      <c r="D6" s="7">
        <v>40617938</v>
      </c>
      <c r="E6" s="8">
        <v>30082</v>
      </c>
      <c r="F6" s="9">
        <f>DATEDIF(E6, U6, "Y")</f>
        <v>42</v>
      </c>
      <c r="G6" s="8">
        <v>45437</v>
      </c>
      <c r="H6" s="7">
        <v>257</v>
      </c>
      <c r="I6" s="7">
        <v>2.74</v>
      </c>
      <c r="J6" s="7">
        <v>0.09</v>
      </c>
      <c r="K6" s="7">
        <v>0.43</v>
      </c>
      <c r="L6" s="7">
        <v>1.68</v>
      </c>
      <c r="M6" s="10">
        <f t="shared" si="0"/>
        <v>1.6309523809523812</v>
      </c>
      <c r="N6" s="10">
        <f t="shared" si="1"/>
        <v>152.97619047619048</v>
      </c>
      <c r="O6" s="10">
        <f t="shared" si="2"/>
        <v>0.25595238095238093</v>
      </c>
      <c r="P6" s="10">
        <f t="shared" si="3"/>
        <v>5.3571428571428568E-2</v>
      </c>
      <c r="Q6" s="10">
        <f t="shared" si="4"/>
        <v>419.15476190476198</v>
      </c>
      <c r="R6" s="10">
        <f t="shared" si="5"/>
        <v>0.70130952380952394</v>
      </c>
      <c r="S6" s="10">
        <f t="shared" si="6"/>
        <v>3.9069767441860463</v>
      </c>
      <c r="T6" s="10">
        <f t="shared" si="7"/>
        <v>180.23654761904766</v>
      </c>
      <c r="U6" s="8">
        <v>45449</v>
      </c>
      <c r="V6" s="7" t="s">
        <v>30</v>
      </c>
      <c r="W6" s="7" t="s">
        <v>86</v>
      </c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35">
      <c r="A7" s="7"/>
      <c r="B7" s="7" t="s">
        <v>57</v>
      </c>
      <c r="C7" s="7" t="s">
        <v>58</v>
      </c>
      <c r="D7" s="7">
        <v>5129259</v>
      </c>
      <c r="E7" s="8">
        <v>26155</v>
      </c>
      <c r="F7" s="9">
        <f>DATEDIF(E7, U7, "Y")</f>
        <v>52</v>
      </c>
      <c r="G7" s="8">
        <v>45293</v>
      </c>
      <c r="H7" s="7">
        <v>184</v>
      </c>
      <c r="I7" s="7">
        <v>3.2</v>
      </c>
      <c r="J7" s="7">
        <v>0.11</v>
      </c>
      <c r="K7" s="7">
        <v>0.39</v>
      </c>
      <c r="L7" s="7">
        <v>1.66</v>
      </c>
      <c r="M7" s="10">
        <f t="shared" si="0"/>
        <v>1.9277108433734942</v>
      </c>
      <c r="N7" s="10">
        <f t="shared" si="1"/>
        <v>110.8433734939759</v>
      </c>
      <c r="O7" s="10">
        <f t="shared" si="2"/>
        <v>0.23493975903614459</v>
      </c>
      <c r="P7" s="10">
        <f t="shared" si="3"/>
        <v>6.6265060240963861E-2</v>
      </c>
      <c r="Q7" s="10">
        <f t="shared" si="4"/>
        <v>354.69879518072293</v>
      </c>
      <c r="R7" s="10">
        <f t="shared" si="5"/>
        <v>0.75180722891566287</v>
      </c>
      <c r="S7" s="10">
        <f t="shared" si="6"/>
        <v>4.2564102564102564</v>
      </c>
      <c r="T7" s="10">
        <f t="shared" si="7"/>
        <v>138.33253012048195</v>
      </c>
      <c r="U7" s="8">
        <v>45293</v>
      </c>
      <c r="V7" s="7" t="s">
        <v>24</v>
      </c>
      <c r="W7" s="7" t="s">
        <v>86</v>
      </c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35">
      <c r="A8" s="7"/>
      <c r="B8" s="7" t="s">
        <v>59</v>
      </c>
      <c r="C8" s="7" t="s">
        <v>60</v>
      </c>
      <c r="D8" s="7">
        <v>50753573</v>
      </c>
      <c r="E8" s="8">
        <v>21321</v>
      </c>
      <c r="F8" s="9">
        <f>DATEDIF(E8, U8, "Y")</f>
        <v>65</v>
      </c>
      <c r="G8" s="11">
        <v>45287</v>
      </c>
      <c r="H8" s="7">
        <v>252</v>
      </c>
      <c r="I8" s="7">
        <v>4.1100000000000003</v>
      </c>
      <c r="J8" s="7">
        <v>0.12</v>
      </c>
      <c r="K8" s="7">
        <v>0.3</v>
      </c>
      <c r="L8" s="7">
        <v>1.72</v>
      </c>
      <c r="M8" s="10">
        <f t="shared" si="0"/>
        <v>2.3895348837209305</v>
      </c>
      <c r="N8" s="10">
        <f t="shared" si="1"/>
        <v>146.51162790697674</v>
      </c>
      <c r="O8" s="10">
        <f t="shared" si="2"/>
        <v>0.1744186046511628</v>
      </c>
      <c r="P8" s="10">
        <f t="shared" si="3"/>
        <v>6.9767441860465115E-2</v>
      </c>
      <c r="Q8" s="10">
        <f t="shared" si="4"/>
        <v>602.1627906976745</v>
      </c>
      <c r="R8" s="10">
        <f t="shared" si="5"/>
        <v>0.7168604651162791</v>
      </c>
      <c r="S8" s="10">
        <f t="shared" si="6"/>
        <v>5.7333333333333334</v>
      </c>
      <c r="T8" s="10">
        <f t="shared" si="7"/>
        <v>180.64883720930234</v>
      </c>
      <c r="U8" s="8">
        <v>45294</v>
      </c>
      <c r="V8" s="7" t="s">
        <v>24</v>
      </c>
      <c r="W8" s="7" t="s">
        <v>86</v>
      </c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35">
      <c r="A9" s="7"/>
      <c r="B9" s="7" t="s">
        <v>61</v>
      </c>
      <c r="C9" s="7" t="s">
        <v>62</v>
      </c>
      <c r="D9" s="7">
        <v>50719558</v>
      </c>
      <c r="E9" s="8">
        <v>28768</v>
      </c>
      <c r="F9" s="9">
        <f>DATEDIF(E9, U9, "Y")</f>
        <v>45</v>
      </c>
      <c r="G9" s="8">
        <v>45294</v>
      </c>
      <c r="H9" s="7">
        <v>326</v>
      </c>
      <c r="I9" s="7">
        <v>3.53</v>
      </c>
      <c r="J9" s="7">
        <v>0.11</v>
      </c>
      <c r="K9" s="7">
        <v>0.32</v>
      </c>
      <c r="L9" s="7">
        <v>2.0099999999999998</v>
      </c>
      <c r="M9" s="10">
        <f t="shared" si="0"/>
        <v>1.7562189054726369</v>
      </c>
      <c r="N9" s="10">
        <f t="shared" si="1"/>
        <v>162.18905472636817</v>
      </c>
      <c r="O9" s="10">
        <f t="shared" si="2"/>
        <v>0.15920398009950251</v>
      </c>
      <c r="P9" s="10">
        <f t="shared" si="3"/>
        <v>5.4726368159203988E-2</v>
      </c>
      <c r="Q9" s="10">
        <f t="shared" si="4"/>
        <v>572.5273631840796</v>
      </c>
      <c r="R9" s="10">
        <f t="shared" si="5"/>
        <v>0.56199004975124378</v>
      </c>
      <c r="S9" s="10">
        <f t="shared" si="6"/>
        <v>6.2812499999999991</v>
      </c>
      <c r="T9" s="10">
        <f t="shared" si="7"/>
        <v>183.20875621890548</v>
      </c>
      <c r="U9" s="8">
        <v>45294</v>
      </c>
      <c r="V9" s="7" t="s">
        <v>30</v>
      </c>
      <c r="W9" s="7" t="s">
        <v>86</v>
      </c>
      <c r="X9" s="7"/>
      <c r="Y9" s="7"/>
      <c r="Z9" s="7"/>
      <c r="AA9" s="7"/>
      <c r="AB9" s="7"/>
      <c r="AC9" s="7"/>
      <c r="AD9" s="7"/>
      <c r="AE9" s="7"/>
      <c r="AF9" s="7"/>
    </row>
    <row r="10" spans="1:32" x14ac:dyDescent="0.35">
      <c r="A10" s="7"/>
      <c r="B10" s="7" t="s">
        <v>63</v>
      </c>
      <c r="C10" s="7" t="s">
        <v>64</v>
      </c>
      <c r="D10" s="7">
        <v>23660236</v>
      </c>
      <c r="E10" s="8">
        <v>27444</v>
      </c>
      <c r="F10" s="9">
        <f>DATEDIF(E10, U10, "Y")</f>
        <v>48</v>
      </c>
      <c r="G10" s="8">
        <v>45294</v>
      </c>
      <c r="H10" s="7">
        <v>225</v>
      </c>
      <c r="I10" s="7">
        <v>3.97</v>
      </c>
      <c r="J10" s="7">
        <v>0.15</v>
      </c>
      <c r="K10" s="7">
        <v>0.49</v>
      </c>
      <c r="L10" s="7">
        <v>3.26</v>
      </c>
      <c r="M10" s="10">
        <f t="shared" si="0"/>
        <v>1.2177914110429449</v>
      </c>
      <c r="N10" s="10">
        <f t="shared" si="1"/>
        <v>69.018404907975466</v>
      </c>
      <c r="O10" s="10">
        <f t="shared" si="2"/>
        <v>0.15030674846625769</v>
      </c>
      <c r="P10" s="10">
        <f t="shared" si="3"/>
        <v>4.6012269938650305E-2</v>
      </c>
      <c r="Q10" s="10">
        <f t="shared" si="4"/>
        <v>274.00306748466261</v>
      </c>
      <c r="R10" s="10">
        <f t="shared" si="5"/>
        <v>0.59671779141104297</v>
      </c>
      <c r="S10" s="10">
        <f t="shared" si="6"/>
        <v>6.6530612244897958</v>
      </c>
      <c r="T10" s="10">
        <f t="shared" si="7"/>
        <v>134.26150306748468</v>
      </c>
      <c r="U10" s="8">
        <v>45294</v>
      </c>
      <c r="V10" s="7" t="s">
        <v>27</v>
      </c>
      <c r="W10" s="7" t="s">
        <v>86</v>
      </c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35">
      <c r="A11" s="7"/>
      <c r="B11" s="7" t="s">
        <v>65</v>
      </c>
      <c r="C11" s="7" t="s">
        <v>41</v>
      </c>
      <c r="D11" s="7">
        <v>50413525</v>
      </c>
      <c r="E11" s="8">
        <v>30223</v>
      </c>
      <c r="F11" s="9">
        <f>DATEDIF(E11, U11, "Y")</f>
        <v>41</v>
      </c>
      <c r="G11" s="8">
        <v>45206</v>
      </c>
      <c r="H11" s="7">
        <v>208</v>
      </c>
      <c r="I11" s="7">
        <v>4.55</v>
      </c>
      <c r="J11" s="7">
        <v>0.2</v>
      </c>
      <c r="K11" s="7">
        <v>0.43</v>
      </c>
      <c r="L11" s="7">
        <v>2.93</v>
      </c>
      <c r="M11" s="10">
        <f t="shared" si="0"/>
        <v>1.5529010238907848</v>
      </c>
      <c r="N11" s="10">
        <f t="shared" si="1"/>
        <v>70.989761092150161</v>
      </c>
      <c r="O11" s="10">
        <f t="shared" si="2"/>
        <v>0.14675767918088736</v>
      </c>
      <c r="P11" s="10">
        <f t="shared" si="3"/>
        <v>6.8259385665529013E-2</v>
      </c>
      <c r="Q11" s="10">
        <f t="shared" si="4"/>
        <v>323.00341296928326</v>
      </c>
      <c r="R11" s="10">
        <f t="shared" si="5"/>
        <v>0.66774744027303745</v>
      </c>
      <c r="S11" s="10">
        <f t="shared" si="6"/>
        <v>6.8139534883720936</v>
      </c>
      <c r="T11" s="10">
        <f t="shared" si="7"/>
        <v>138.8914675767918</v>
      </c>
      <c r="U11" s="8">
        <v>45294</v>
      </c>
      <c r="V11" s="7" t="s">
        <v>30</v>
      </c>
      <c r="W11" s="7" t="s">
        <v>86</v>
      </c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35">
      <c r="A12" s="7"/>
      <c r="B12" s="7" t="s">
        <v>66</v>
      </c>
      <c r="C12" s="7" t="s">
        <v>67</v>
      </c>
      <c r="D12" s="7">
        <v>30262448</v>
      </c>
      <c r="E12" s="8">
        <v>24607</v>
      </c>
      <c r="F12" s="9">
        <f>DATEDIF(E12, U12, "Y")</f>
        <v>56</v>
      </c>
      <c r="G12" s="8">
        <v>45239</v>
      </c>
      <c r="H12" s="7">
        <v>186</v>
      </c>
      <c r="I12" s="7">
        <v>2.91</v>
      </c>
      <c r="J12" s="7">
        <v>0.16</v>
      </c>
      <c r="K12" s="7">
        <v>0.34</v>
      </c>
      <c r="L12" s="7">
        <v>2.59</v>
      </c>
      <c r="M12" s="10">
        <f t="shared" si="0"/>
        <v>1.1235521235521237</v>
      </c>
      <c r="N12" s="10">
        <f t="shared" si="1"/>
        <v>71.814671814671826</v>
      </c>
      <c r="O12" s="10">
        <f t="shared" si="2"/>
        <v>0.13127413127413129</v>
      </c>
      <c r="P12" s="10">
        <f t="shared" si="3"/>
        <v>6.1776061776061778E-2</v>
      </c>
      <c r="Q12" s="10">
        <f t="shared" si="4"/>
        <v>208.98069498069498</v>
      </c>
      <c r="R12" s="10">
        <f t="shared" si="5"/>
        <v>0.38200772200772209</v>
      </c>
      <c r="S12" s="10">
        <f t="shared" si="6"/>
        <v>7.6176470588235281</v>
      </c>
      <c r="T12" s="10">
        <f t="shared" si="7"/>
        <v>71.053436293436306</v>
      </c>
      <c r="U12" s="8">
        <v>45294</v>
      </c>
      <c r="V12" s="7" t="s">
        <v>24</v>
      </c>
      <c r="W12" s="7" t="s">
        <v>68</v>
      </c>
      <c r="X12" s="7"/>
      <c r="Y12" s="7"/>
      <c r="Z12" s="7"/>
      <c r="AA12" s="7"/>
      <c r="AB12" s="7"/>
      <c r="AC12" s="7"/>
      <c r="AD12" s="7"/>
      <c r="AE12" s="7"/>
      <c r="AF12" s="7"/>
    </row>
    <row r="13" spans="1:32" x14ac:dyDescent="0.35">
      <c r="A13" s="7"/>
      <c r="B13" s="7" t="s">
        <v>69</v>
      </c>
      <c r="C13" s="7" t="s">
        <v>70</v>
      </c>
      <c r="D13" s="7">
        <v>34965285</v>
      </c>
      <c r="E13" s="8">
        <v>29352</v>
      </c>
      <c r="F13" s="9">
        <f>DATEDIF(E13, U13, "Y")</f>
        <v>43</v>
      </c>
      <c r="G13" s="11">
        <v>45281</v>
      </c>
      <c r="H13" s="7">
        <v>256</v>
      </c>
      <c r="I13" s="7">
        <v>5.72</v>
      </c>
      <c r="J13" s="7">
        <v>0.09</v>
      </c>
      <c r="K13" s="7">
        <v>0.57999999999999996</v>
      </c>
      <c r="L13" s="7">
        <v>1.72</v>
      </c>
      <c r="M13" s="10">
        <f t="shared" si="0"/>
        <v>3.3255813953488369</v>
      </c>
      <c r="N13" s="10">
        <f t="shared" si="1"/>
        <v>148.83720930232559</v>
      </c>
      <c r="O13" s="10">
        <f t="shared" si="2"/>
        <v>0.33720930232558138</v>
      </c>
      <c r="P13" s="10">
        <f t="shared" si="3"/>
        <v>5.2325581395348833E-2</v>
      </c>
      <c r="Q13" s="10">
        <f t="shared" si="4"/>
        <v>851.34883720930225</v>
      </c>
      <c r="R13" s="10">
        <f t="shared" si="5"/>
        <v>1.9288372093023254</v>
      </c>
      <c r="S13" s="10">
        <f t="shared" si="6"/>
        <v>2.9655172413793105</v>
      </c>
      <c r="T13" s="10">
        <f t="shared" si="7"/>
        <v>493.7823255813953</v>
      </c>
      <c r="U13" s="8">
        <v>45296</v>
      </c>
      <c r="V13" s="7" t="s">
        <v>30</v>
      </c>
      <c r="W13" s="7" t="s">
        <v>86</v>
      </c>
      <c r="X13" s="7"/>
      <c r="Y13" s="7"/>
      <c r="Z13" s="7"/>
      <c r="AA13" s="7"/>
      <c r="AB13" s="7"/>
      <c r="AC13" s="7"/>
      <c r="AD13" s="7"/>
      <c r="AE13" s="7"/>
      <c r="AF13" s="7"/>
    </row>
    <row r="14" spans="1:32" x14ac:dyDescent="0.35">
      <c r="A14" s="7"/>
      <c r="B14" s="7" t="s">
        <v>71</v>
      </c>
      <c r="C14" s="7" t="s">
        <v>72</v>
      </c>
      <c r="D14" s="7">
        <v>50738871</v>
      </c>
      <c r="E14" s="8">
        <v>28278</v>
      </c>
      <c r="F14" s="9">
        <f>DATEDIF(E14, U14, "Y")</f>
        <v>46</v>
      </c>
      <c r="G14" s="11">
        <v>45289</v>
      </c>
      <c r="H14" s="7">
        <v>225</v>
      </c>
      <c r="I14" s="7">
        <v>1.07</v>
      </c>
      <c r="J14" s="7">
        <v>0.25</v>
      </c>
      <c r="K14" s="7">
        <v>0.28999999999999998</v>
      </c>
      <c r="L14" s="7">
        <v>0.87</v>
      </c>
      <c r="M14" s="10">
        <f t="shared" si="0"/>
        <v>1.2298850574712645</v>
      </c>
      <c r="N14" s="10">
        <f t="shared" si="1"/>
        <v>258.62068965517244</v>
      </c>
      <c r="O14" s="10">
        <f t="shared" si="2"/>
        <v>0.33333333333333331</v>
      </c>
      <c r="P14" s="10">
        <f t="shared" si="3"/>
        <v>0.28735632183908044</v>
      </c>
      <c r="Q14" s="10">
        <f t="shared" si="4"/>
        <v>276.72413793103448</v>
      </c>
      <c r="R14" s="10">
        <f t="shared" si="5"/>
        <v>0.35666666666666669</v>
      </c>
      <c r="S14" s="10">
        <f t="shared" si="6"/>
        <v>3</v>
      </c>
      <c r="T14" s="10">
        <f t="shared" si="7"/>
        <v>80.250000000000014</v>
      </c>
      <c r="U14" s="8">
        <v>45296</v>
      </c>
      <c r="V14" s="7" t="s">
        <v>24</v>
      </c>
      <c r="W14" s="7" t="s">
        <v>68</v>
      </c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35">
      <c r="A15" s="7"/>
      <c r="B15" s="7" t="s">
        <v>73</v>
      </c>
      <c r="C15" s="7" t="s">
        <v>74</v>
      </c>
      <c r="D15" s="7">
        <v>38159349</v>
      </c>
      <c r="E15" s="8">
        <v>27628</v>
      </c>
      <c r="F15" s="9">
        <f>DATEDIF(E15, U15, "Y")</f>
        <v>48</v>
      </c>
      <c r="G15" s="11">
        <v>45287</v>
      </c>
      <c r="H15" s="7">
        <v>266</v>
      </c>
      <c r="I15" s="7">
        <v>3.14</v>
      </c>
      <c r="J15" s="7">
        <v>0.97</v>
      </c>
      <c r="K15" s="7">
        <v>0.32</v>
      </c>
      <c r="L15" s="7">
        <v>1.54</v>
      </c>
      <c r="M15" s="10">
        <f t="shared" si="0"/>
        <v>2.0389610389610389</v>
      </c>
      <c r="N15" s="10">
        <f t="shared" si="1"/>
        <v>172.72727272727272</v>
      </c>
      <c r="O15" s="10">
        <f t="shared" si="2"/>
        <v>0.20779220779220778</v>
      </c>
      <c r="P15" s="10">
        <f t="shared" si="3"/>
        <v>0.6298701298701298</v>
      </c>
      <c r="Q15" s="10">
        <f t="shared" si="4"/>
        <v>542.36363636363637</v>
      </c>
      <c r="R15" s="10">
        <f t="shared" si="5"/>
        <v>0.65246753246753253</v>
      </c>
      <c r="S15" s="10">
        <f t="shared" si="6"/>
        <v>4.8125</v>
      </c>
      <c r="T15" s="10">
        <f t="shared" si="7"/>
        <v>173.55636363636367</v>
      </c>
      <c r="U15" s="8">
        <v>45296</v>
      </c>
      <c r="V15" s="7" t="s">
        <v>30</v>
      </c>
      <c r="W15" s="7" t="s">
        <v>75</v>
      </c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35">
      <c r="A16" s="7"/>
      <c r="B16" s="7" t="s">
        <v>76</v>
      </c>
      <c r="C16" s="7" t="s">
        <v>77</v>
      </c>
      <c r="D16" s="7">
        <v>50483189</v>
      </c>
      <c r="E16" s="8">
        <v>26436</v>
      </c>
      <c r="F16" s="9">
        <f>DATEDIF(E16, U16, "Y")</f>
        <v>51</v>
      </c>
      <c r="G16" s="11">
        <v>45252</v>
      </c>
      <c r="H16" s="7">
        <v>348</v>
      </c>
      <c r="I16" s="7">
        <v>3.7</v>
      </c>
      <c r="J16" s="7">
        <v>0.02</v>
      </c>
      <c r="K16" s="7">
        <v>0.2</v>
      </c>
      <c r="L16" s="7">
        <v>0.97</v>
      </c>
      <c r="M16" s="10">
        <f t="shared" si="0"/>
        <v>3.8144329896907219</v>
      </c>
      <c r="N16" s="10">
        <f t="shared" si="1"/>
        <v>358.76288659793818</v>
      </c>
      <c r="O16" s="10">
        <f t="shared" si="2"/>
        <v>0.2061855670103093</v>
      </c>
      <c r="P16" s="10">
        <f t="shared" si="3"/>
        <v>2.0618556701030927E-2</v>
      </c>
      <c r="Q16" s="10">
        <f t="shared" si="4"/>
        <v>1327.4226804123714</v>
      </c>
      <c r="R16" s="10">
        <f t="shared" si="5"/>
        <v>0.76288659793814451</v>
      </c>
      <c r="S16" s="10">
        <f t="shared" si="6"/>
        <v>4.8499999999999996</v>
      </c>
      <c r="T16" s="10">
        <f t="shared" si="7"/>
        <v>265.48453608247428</v>
      </c>
      <c r="U16" s="8">
        <v>45295</v>
      </c>
      <c r="V16" s="7" t="s">
        <v>24</v>
      </c>
      <c r="W16" s="7" t="s">
        <v>78</v>
      </c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35">
      <c r="A17" s="7"/>
      <c r="B17" s="7" t="s">
        <v>79</v>
      </c>
      <c r="C17" s="7" t="s">
        <v>80</v>
      </c>
      <c r="D17" s="7">
        <v>50653880</v>
      </c>
      <c r="E17" s="11">
        <v>25933</v>
      </c>
      <c r="F17" s="9">
        <f>DATEDIF(E17, U17, "Y")</f>
        <v>53</v>
      </c>
      <c r="G17" s="11">
        <v>45275</v>
      </c>
      <c r="H17" s="7">
        <v>447</v>
      </c>
      <c r="I17" s="7">
        <v>4.59</v>
      </c>
      <c r="J17" s="7">
        <v>0.09</v>
      </c>
      <c r="K17" s="7">
        <v>0.39</v>
      </c>
      <c r="L17" s="7">
        <v>1.38</v>
      </c>
      <c r="M17" s="10">
        <f t="shared" si="0"/>
        <v>3.3260869565217392</v>
      </c>
      <c r="N17" s="10">
        <f t="shared" si="1"/>
        <v>323.91304347826087</v>
      </c>
      <c r="O17" s="10">
        <f t="shared" si="2"/>
        <v>0.28260869565217395</v>
      </c>
      <c r="P17" s="10">
        <f t="shared" si="3"/>
        <v>6.5217391304347824E-2</v>
      </c>
      <c r="Q17" s="10">
        <f t="shared" si="4"/>
        <v>1486.7608695652175</v>
      </c>
      <c r="R17" s="10">
        <f t="shared" si="5"/>
        <v>1.2971739130434783</v>
      </c>
      <c r="S17" s="10">
        <f t="shared" si="6"/>
        <v>3.5384615384615379</v>
      </c>
      <c r="T17" s="10">
        <f t="shared" si="7"/>
        <v>579.83673913043481</v>
      </c>
      <c r="U17" s="8">
        <v>45296</v>
      </c>
      <c r="V17" s="7" t="s">
        <v>25</v>
      </c>
      <c r="W17" s="7" t="s">
        <v>86</v>
      </c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35">
      <c r="A18" s="7"/>
      <c r="B18" s="7" t="s">
        <v>81</v>
      </c>
      <c r="C18" s="7" t="s">
        <v>82</v>
      </c>
      <c r="D18" s="7">
        <v>50167873</v>
      </c>
      <c r="E18" s="8">
        <v>28870</v>
      </c>
      <c r="F18" s="9">
        <f>DATEDIF(E18, U18, "Y")</f>
        <v>44</v>
      </c>
      <c r="G18" s="8">
        <v>45294</v>
      </c>
      <c r="H18" s="7">
        <v>143</v>
      </c>
      <c r="I18" s="7">
        <v>1.89</v>
      </c>
      <c r="J18" s="7">
        <v>0.04</v>
      </c>
      <c r="K18" s="7">
        <v>0.52</v>
      </c>
      <c r="L18" s="7">
        <v>0.9</v>
      </c>
      <c r="M18" s="10">
        <f t="shared" si="0"/>
        <v>2.0999999999999996</v>
      </c>
      <c r="N18" s="10">
        <f t="shared" si="1"/>
        <v>158.88888888888889</v>
      </c>
      <c r="O18" s="10">
        <f t="shared" si="2"/>
        <v>0.57777777777777783</v>
      </c>
      <c r="P18" s="10">
        <f t="shared" si="3"/>
        <v>4.4444444444444446E-2</v>
      </c>
      <c r="Q18" s="10">
        <f t="shared" si="4"/>
        <v>300.29999999999995</v>
      </c>
      <c r="R18" s="10">
        <f t="shared" si="5"/>
        <v>1.0920000000000001</v>
      </c>
      <c r="S18" s="10">
        <f t="shared" si="6"/>
        <v>1.7307692307692308</v>
      </c>
      <c r="T18" s="10">
        <f t="shared" si="7"/>
        <v>156.15600000000001</v>
      </c>
      <c r="U18" s="8">
        <v>45299</v>
      </c>
      <c r="V18" s="7" t="s">
        <v>30</v>
      </c>
      <c r="W18" s="7" t="s">
        <v>86</v>
      </c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35">
      <c r="A19" s="7"/>
      <c r="B19" s="7" t="s">
        <v>83</v>
      </c>
      <c r="C19" s="7" t="s">
        <v>84</v>
      </c>
      <c r="D19" s="7">
        <v>2275667</v>
      </c>
      <c r="E19" s="11">
        <v>22211</v>
      </c>
      <c r="F19" s="9">
        <f>DATEDIF(E19, U19, "Y")</f>
        <v>63</v>
      </c>
      <c r="G19" s="8">
        <v>45203</v>
      </c>
      <c r="H19" s="7">
        <v>317</v>
      </c>
      <c r="I19" s="7">
        <v>6.6</v>
      </c>
      <c r="J19" s="7">
        <v>0.09</v>
      </c>
      <c r="K19" s="7">
        <v>0.4</v>
      </c>
      <c r="L19" s="7">
        <v>2.4</v>
      </c>
      <c r="M19" s="10">
        <f t="shared" si="0"/>
        <v>2.75</v>
      </c>
      <c r="N19" s="10">
        <f t="shared" si="1"/>
        <v>132.08333333333334</v>
      </c>
      <c r="O19" s="10">
        <f t="shared" si="2"/>
        <v>0.16666666666666669</v>
      </c>
      <c r="P19" s="10">
        <f t="shared" si="3"/>
        <v>3.7499999999999999E-2</v>
      </c>
      <c r="Q19" s="10">
        <f t="shared" si="4"/>
        <v>871.75</v>
      </c>
      <c r="R19" s="10">
        <f t="shared" si="5"/>
        <v>1.1000000000000001</v>
      </c>
      <c r="S19" s="10">
        <f t="shared" si="6"/>
        <v>5.9999999999999991</v>
      </c>
      <c r="T19" s="10">
        <f t="shared" si="7"/>
        <v>348.7</v>
      </c>
      <c r="U19" s="8">
        <v>45300</v>
      </c>
      <c r="V19" s="7" t="s">
        <v>85</v>
      </c>
      <c r="W19" s="7" t="s">
        <v>86</v>
      </c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35">
      <c r="A20" s="7"/>
      <c r="B20" s="7" t="s">
        <v>87</v>
      </c>
      <c r="C20" s="7" t="s">
        <v>37</v>
      </c>
      <c r="D20" s="7">
        <v>43112820</v>
      </c>
      <c r="E20" s="8">
        <v>29816</v>
      </c>
      <c r="F20" s="9">
        <f>DATEDIF(E20, U20, "Y")</f>
        <v>42</v>
      </c>
      <c r="G20" s="11">
        <v>45253</v>
      </c>
      <c r="H20" s="7">
        <v>254</v>
      </c>
      <c r="I20" s="7">
        <v>6.32</v>
      </c>
      <c r="J20" s="7">
        <v>0.02</v>
      </c>
      <c r="K20" s="7">
        <v>0.28000000000000003</v>
      </c>
      <c r="L20" s="7">
        <v>1.44</v>
      </c>
      <c r="M20" s="10">
        <f t="shared" si="0"/>
        <v>4.3888888888888893</v>
      </c>
      <c r="N20" s="10">
        <f t="shared" si="1"/>
        <v>176.38888888888889</v>
      </c>
      <c r="O20" s="10">
        <f t="shared" si="2"/>
        <v>0.19444444444444448</v>
      </c>
      <c r="P20" s="10">
        <f t="shared" si="3"/>
        <v>1.388888888888889E-2</v>
      </c>
      <c r="Q20" s="10">
        <f t="shared" si="4"/>
        <v>1114.7777777777778</v>
      </c>
      <c r="R20" s="10">
        <f t="shared" si="5"/>
        <v>1.2288888888888891</v>
      </c>
      <c r="S20" s="10">
        <f t="shared" si="6"/>
        <v>5.1428571428571423</v>
      </c>
      <c r="T20" s="10">
        <f t="shared" si="7"/>
        <v>312.13777777777784</v>
      </c>
      <c r="U20" s="8">
        <v>45300</v>
      </c>
      <c r="V20" s="7" t="s">
        <v>30</v>
      </c>
      <c r="W20" s="7" t="s">
        <v>86</v>
      </c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35">
      <c r="A21" s="7"/>
      <c r="B21" s="7" t="s">
        <v>88</v>
      </c>
      <c r="C21" s="7" t="s">
        <v>89</v>
      </c>
      <c r="D21" s="7">
        <v>46808465</v>
      </c>
      <c r="E21" s="11">
        <v>28051</v>
      </c>
      <c r="F21" s="9">
        <f>DATEDIF(E21, U21, "Y")</f>
        <v>47</v>
      </c>
      <c r="G21" s="8">
        <v>45295</v>
      </c>
      <c r="H21" s="7">
        <v>321</v>
      </c>
      <c r="I21" s="7">
        <v>2.62</v>
      </c>
      <c r="J21" s="7">
        <v>0.21</v>
      </c>
      <c r="K21" s="7">
        <v>0.38</v>
      </c>
      <c r="L21" s="7">
        <v>1.43</v>
      </c>
      <c r="M21" s="10">
        <f t="shared" si="0"/>
        <v>1.8321678321678323</v>
      </c>
      <c r="N21" s="10">
        <f t="shared" si="1"/>
        <v>224.47552447552448</v>
      </c>
      <c r="O21" s="10">
        <f t="shared" si="2"/>
        <v>0.26573426573426573</v>
      </c>
      <c r="P21" s="10">
        <f t="shared" si="3"/>
        <v>0.14685314685314685</v>
      </c>
      <c r="Q21" s="10">
        <f t="shared" si="4"/>
        <v>588.12587412587413</v>
      </c>
      <c r="R21" s="10">
        <f t="shared" si="5"/>
        <v>0.69622377622377629</v>
      </c>
      <c r="S21" s="10">
        <f t="shared" si="6"/>
        <v>3.763157894736842</v>
      </c>
      <c r="T21" s="10">
        <f t="shared" si="7"/>
        <v>223.48783216783218</v>
      </c>
      <c r="U21" s="8">
        <v>45301</v>
      </c>
      <c r="V21" s="7" t="s">
        <v>24</v>
      </c>
      <c r="W21" s="7" t="s">
        <v>86</v>
      </c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35">
      <c r="A22" s="7"/>
      <c r="B22" s="7" t="s">
        <v>90</v>
      </c>
      <c r="C22" s="7" t="s">
        <v>44</v>
      </c>
      <c r="D22" s="7">
        <v>34099358</v>
      </c>
      <c r="E22" s="8">
        <v>28904</v>
      </c>
      <c r="F22" s="9">
        <f>DATEDIF(E22, U22, "Y")</f>
        <v>44</v>
      </c>
      <c r="G22" s="11">
        <v>45276</v>
      </c>
      <c r="H22" s="7">
        <v>278</v>
      </c>
      <c r="I22" s="7">
        <v>3.58</v>
      </c>
      <c r="J22" s="7">
        <v>0.1</v>
      </c>
      <c r="K22" s="7">
        <v>0.24</v>
      </c>
      <c r="L22" s="7">
        <v>1.76</v>
      </c>
      <c r="M22" s="10">
        <f t="shared" si="0"/>
        <v>2.0340909090909092</v>
      </c>
      <c r="N22" s="10">
        <f t="shared" si="1"/>
        <v>157.95454545454547</v>
      </c>
      <c r="O22" s="10">
        <f t="shared" si="2"/>
        <v>0.13636363636363635</v>
      </c>
      <c r="P22" s="10">
        <f t="shared" si="3"/>
        <v>5.6818181818181823E-2</v>
      </c>
      <c r="Q22" s="10">
        <f t="shared" si="4"/>
        <v>565.47727272727275</v>
      </c>
      <c r="R22" s="10">
        <f t="shared" si="5"/>
        <v>0.48818181818181816</v>
      </c>
      <c r="S22" s="10">
        <f t="shared" si="6"/>
        <v>7.3333333333333339</v>
      </c>
      <c r="T22" s="10">
        <f t="shared" si="7"/>
        <v>135.71454545454546</v>
      </c>
      <c r="U22" s="8">
        <v>45301</v>
      </c>
      <c r="V22" s="7" t="s">
        <v>30</v>
      </c>
      <c r="W22" s="7" t="s">
        <v>86</v>
      </c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35">
      <c r="A23" s="7"/>
      <c r="B23" s="7" t="s">
        <v>91</v>
      </c>
      <c r="C23" s="7" t="s">
        <v>37</v>
      </c>
      <c r="D23" s="7">
        <v>47504097</v>
      </c>
      <c r="E23" s="8">
        <v>28660</v>
      </c>
      <c r="F23" s="9">
        <f>DATEDIF(E23, U23, "Y")</f>
        <v>45</v>
      </c>
      <c r="G23" s="11">
        <v>45224</v>
      </c>
      <c r="H23" s="7">
        <v>261</v>
      </c>
      <c r="I23" s="7">
        <v>4.22</v>
      </c>
      <c r="J23" s="7">
        <v>0.06</v>
      </c>
      <c r="K23" s="7">
        <v>0.3</v>
      </c>
      <c r="L23" s="7">
        <v>1.97</v>
      </c>
      <c r="M23" s="10">
        <f t="shared" si="0"/>
        <v>2.1421319796954315</v>
      </c>
      <c r="N23" s="10">
        <f t="shared" si="1"/>
        <v>132.48730964467006</v>
      </c>
      <c r="O23" s="10">
        <f t="shared" si="2"/>
        <v>0.15228426395939085</v>
      </c>
      <c r="P23" s="10">
        <f t="shared" si="3"/>
        <v>3.045685279187817E-2</v>
      </c>
      <c r="Q23" s="10">
        <f t="shared" si="4"/>
        <v>559.0964467005075</v>
      </c>
      <c r="R23" s="10">
        <f t="shared" si="5"/>
        <v>0.64263959390862935</v>
      </c>
      <c r="S23" s="10">
        <f t="shared" si="6"/>
        <v>6.5666666666666664</v>
      </c>
      <c r="T23" s="10">
        <f t="shared" si="7"/>
        <v>167.72893401015224</v>
      </c>
      <c r="U23" s="8">
        <v>45303</v>
      </c>
      <c r="V23" s="7" t="s">
        <v>25</v>
      </c>
      <c r="W23" s="7" t="s">
        <v>86</v>
      </c>
      <c r="X23" s="7"/>
      <c r="Y23" s="7"/>
      <c r="Z23" s="7"/>
      <c r="AA23" s="7"/>
      <c r="AB23" s="7"/>
      <c r="AC23" s="7"/>
      <c r="AD23" s="7"/>
      <c r="AE23" s="7"/>
      <c r="AF23" s="7"/>
    </row>
    <row r="24" spans="1:32" x14ac:dyDescent="0.35">
      <c r="A24" s="7"/>
      <c r="B24" s="7" t="s">
        <v>92</v>
      </c>
      <c r="C24" s="7" t="s">
        <v>46</v>
      </c>
      <c r="D24" s="7">
        <v>17002783</v>
      </c>
      <c r="E24" s="8">
        <v>24521</v>
      </c>
      <c r="F24" s="9">
        <f>DATEDIF(E24, U24, "Y")</f>
        <v>56</v>
      </c>
      <c r="G24" s="11">
        <v>45280</v>
      </c>
      <c r="H24" s="7">
        <v>221</v>
      </c>
      <c r="I24" s="7">
        <v>3.47</v>
      </c>
      <c r="J24" s="7">
        <v>0.08</v>
      </c>
      <c r="K24" s="7">
        <v>0.38</v>
      </c>
      <c r="L24" s="7">
        <v>1.5</v>
      </c>
      <c r="M24" s="10">
        <f t="shared" si="0"/>
        <v>2.3133333333333335</v>
      </c>
      <c r="N24" s="10">
        <f t="shared" si="1"/>
        <v>147.33333333333334</v>
      </c>
      <c r="O24" s="10">
        <f t="shared" si="2"/>
        <v>0.25333333333333335</v>
      </c>
      <c r="P24" s="10">
        <f t="shared" si="3"/>
        <v>5.3333333333333337E-2</v>
      </c>
      <c r="Q24" s="10">
        <f t="shared" si="4"/>
        <v>511.24666666666667</v>
      </c>
      <c r="R24" s="10">
        <f t="shared" si="5"/>
        <v>0.87906666666666666</v>
      </c>
      <c r="S24" s="10">
        <f t="shared" si="6"/>
        <v>3.9473684210526314</v>
      </c>
      <c r="T24" s="10">
        <f t="shared" si="7"/>
        <v>194.27373333333333</v>
      </c>
      <c r="U24" s="8">
        <v>45304</v>
      </c>
      <c r="V24" s="7" t="s">
        <v>24</v>
      </c>
      <c r="W24" s="7" t="s">
        <v>93</v>
      </c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35">
      <c r="A25" s="7"/>
      <c r="B25" s="7" t="s">
        <v>94</v>
      </c>
      <c r="C25" s="7" t="s">
        <v>29</v>
      </c>
      <c r="D25" s="7">
        <v>42706176</v>
      </c>
      <c r="E25" s="8">
        <v>33039</v>
      </c>
      <c r="F25" s="9">
        <f>DATEDIF(E25, U25, "Y")</f>
        <v>33</v>
      </c>
      <c r="G25" s="11">
        <v>45287</v>
      </c>
      <c r="H25" s="7">
        <v>330</v>
      </c>
      <c r="I25" s="7">
        <v>5.65</v>
      </c>
      <c r="J25" s="7">
        <v>0.05</v>
      </c>
      <c r="K25" s="7">
        <v>0.26</v>
      </c>
      <c r="L25" s="7">
        <v>1.67</v>
      </c>
      <c r="M25" s="10">
        <f t="shared" si="0"/>
        <v>3.3832335329341321</v>
      </c>
      <c r="N25" s="10">
        <f t="shared" si="1"/>
        <v>197.60479041916167</v>
      </c>
      <c r="O25" s="10">
        <f t="shared" si="2"/>
        <v>0.15568862275449102</v>
      </c>
      <c r="P25" s="10">
        <f t="shared" si="3"/>
        <v>2.9940119760479045E-2</v>
      </c>
      <c r="Q25" s="10">
        <f t="shared" si="4"/>
        <v>1116.4670658682637</v>
      </c>
      <c r="R25" s="10">
        <f t="shared" si="5"/>
        <v>0.87964071856287429</v>
      </c>
      <c r="S25" s="10">
        <f t="shared" si="6"/>
        <v>6.4230769230769225</v>
      </c>
      <c r="T25" s="10">
        <f t="shared" si="7"/>
        <v>290.28143712574854</v>
      </c>
      <c r="U25" s="8">
        <v>45304</v>
      </c>
      <c r="V25" s="7" t="s">
        <v>30</v>
      </c>
      <c r="W25" s="7" t="s">
        <v>86</v>
      </c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35">
      <c r="A26" s="7"/>
      <c r="B26" s="7" t="s">
        <v>95</v>
      </c>
      <c r="C26" s="7" t="s">
        <v>96</v>
      </c>
      <c r="D26" s="7">
        <v>25850561</v>
      </c>
      <c r="E26" s="8">
        <v>29029</v>
      </c>
      <c r="F26" s="9">
        <f>DATEDIF(E26, U26, "Y")</f>
        <v>44</v>
      </c>
      <c r="G26" s="11">
        <v>45215</v>
      </c>
      <c r="H26" s="7">
        <v>290</v>
      </c>
      <c r="I26" s="7">
        <v>4.3600000000000003</v>
      </c>
      <c r="J26" s="7">
        <v>0.05</v>
      </c>
      <c r="K26" s="7">
        <v>0.31</v>
      </c>
      <c r="L26" s="7">
        <v>1.95</v>
      </c>
      <c r="M26" s="10">
        <f t="shared" si="0"/>
        <v>2.2358974358974359</v>
      </c>
      <c r="N26" s="10">
        <f t="shared" si="1"/>
        <v>148.71794871794873</v>
      </c>
      <c r="O26" s="10">
        <f t="shared" si="2"/>
        <v>0.15897435897435896</v>
      </c>
      <c r="P26" s="10">
        <f t="shared" si="3"/>
        <v>2.5641025641025644E-2</v>
      </c>
      <c r="Q26" s="10">
        <f t="shared" si="4"/>
        <v>648.41025641025647</v>
      </c>
      <c r="R26" s="10">
        <f t="shared" si="5"/>
        <v>0.69312820512820517</v>
      </c>
      <c r="S26" s="10">
        <f t="shared" si="6"/>
        <v>6.290322580645161</v>
      </c>
      <c r="T26" s="10">
        <f t="shared" si="7"/>
        <v>201.00717948717951</v>
      </c>
      <c r="U26" s="8">
        <v>45303</v>
      </c>
      <c r="V26" s="7" t="s">
        <v>30</v>
      </c>
      <c r="W26" s="7" t="s">
        <v>86</v>
      </c>
      <c r="X26" s="7"/>
      <c r="Y26" s="7"/>
      <c r="Z26" s="7"/>
      <c r="AA26" s="7"/>
      <c r="AB26" s="7"/>
      <c r="AC26" s="7"/>
      <c r="AD26" s="7"/>
      <c r="AE26" s="7"/>
      <c r="AF26" s="7"/>
    </row>
    <row r="27" spans="1:32" x14ac:dyDescent="0.35">
      <c r="A27" s="7"/>
      <c r="B27" s="7" t="s">
        <v>97</v>
      </c>
      <c r="C27" s="7" t="s">
        <v>47</v>
      </c>
      <c r="D27" s="7">
        <v>50604198</v>
      </c>
      <c r="E27" s="8">
        <v>21698</v>
      </c>
      <c r="F27" s="9">
        <f>DATEDIF(E27, U27, "Y")</f>
        <v>64</v>
      </c>
      <c r="G27" s="8">
        <v>45303</v>
      </c>
      <c r="H27" s="7">
        <v>246</v>
      </c>
      <c r="I27" s="7">
        <v>2.79</v>
      </c>
      <c r="J27" s="7">
        <v>0.15</v>
      </c>
      <c r="K27" s="7">
        <v>0.3</v>
      </c>
      <c r="L27" s="7">
        <v>1.43</v>
      </c>
      <c r="M27" s="10">
        <f t="shared" si="0"/>
        <v>1.9510489510489513</v>
      </c>
      <c r="N27" s="10">
        <f t="shared" si="1"/>
        <v>172.02797202797203</v>
      </c>
      <c r="O27" s="10">
        <f t="shared" si="2"/>
        <v>0.20979020979020979</v>
      </c>
      <c r="P27" s="10">
        <f t="shared" si="3"/>
        <v>0.1048951048951049</v>
      </c>
      <c r="Q27" s="10">
        <f t="shared" si="4"/>
        <v>479.95804195804197</v>
      </c>
      <c r="R27" s="10">
        <f t="shared" si="5"/>
        <v>0.58531468531468533</v>
      </c>
      <c r="S27" s="10">
        <f t="shared" si="6"/>
        <v>4.7666666666666666</v>
      </c>
      <c r="T27" s="10">
        <f t="shared" si="7"/>
        <v>143.98741258741259</v>
      </c>
      <c r="U27" s="8">
        <v>45304</v>
      </c>
      <c r="V27" s="7" t="s">
        <v>35</v>
      </c>
      <c r="W27" s="7" t="s">
        <v>86</v>
      </c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35">
      <c r="A28" s="7"/>
      <c r="B28" s="7" t="s">
        <v>98</v>
      </c>
      <c r="C28" s="7" t="s">
        <v>28</v>
      </c>
      <c r="D28" s="7">
        <v>47182084</v>
      </c>
      <c r="E28" s="8">
        <v>29480</v>
      </c>
      <c r="F28" s="9">
        <f>DATEDIF(E28, U28, "Y")</f>
        <v>43</v>
      </c>
      <c r="G28" s="11">
        <v>45288</v>
      </c>
      <c r="H28" s="7">
        <v>217</v>
      </c>
      <c r="I28" s="7">
        <v>3.26</v>
      </c>
      <c r="J28" s="7">
        <v>0.08</v>
      </c>
      <c r="K28" s="7">
        <v>0.37</v>
      </c>
      <c r="L28" s="7">
        <v>2.19</v>
      </c>
      <c r="M28" s="10">
        <f t="shared" si="0"/>
        <v>1.4885844748858448</v>
      </c>
      <c r="N28" s="10">
        <f t="shared" si="1"/>
        <v>99.086757990867582</v>
      </c>
      <c r="O28" s="10">
        <f t="shared" si="2"/>
        <v>0.16894977168949771</v>
      </c>
      <c r="P28" s="10">
        <f t="shared" si="3"/>
        <v>3.6529680365296809E-2</v>
      </c>
      <c r="Q28" s="10">
        <f t="shared" si="4"/>
        <v>323.02283105022832</v>
      </c>
      <c r="R28" s="10">
        <f t="shared" si="5"/>
        <v>0.55077625570776256</v>
      </c>
      <c r="S28" s="10">
        <f t="shared" si="6"/>
        <v>5.9189189189189184</v>
      </c>
      <c r="T28" s="10">
        <f t="shared" si="7"/>
        <v>119.51844748858446</v>
      </c>
      <c r="U28" s="8">
        <v>45306</v>
      </c>
      <c r="V28" s="7" t="s">
        <v>30</v>
      </c>
      <c r="W28" s="7" t="s">
        <v>86</v>
      </c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35">
      <c r="A29" s="7"/>
      <c r="B29" s="7" t="s">
        <v>99</v>
      </c>
      <c r="C29" s="7" t="s">
        <v>26</v>
      </c>
      <c r="D29" s="7">
        <v>46878013</v>
      </c>
      <c r="E29" s="8">
        <v>32556</v>
      </c>
      <c r="F29" s="9">
        <f>DATEDIF(E29, U29, "Y")</f>
        <v>34</v>
      </c>
      <c r="G29" s="8">
        <v>45296</v>
      </c>
      <c r="H29" s="7">
        <v>258</v>
      </c>
      <c r="I29" s="7">
        <v>4.21</v>
      </c>
      <c r="J29" s="7">
        <v>7.0000000000000007E-2</v>
      </c>
      <c r="K29" s="7">
        <v>0.27</v>
      </c>
      <c r="L29" s="7">
        <v>1.95</v>
      </c>
      <c r="M29" s="10">
        <f t="shared" si="0"/>
        <v>2.1589743589743589</v>
      </c>
      <c r="N29" s="10">
        <f t="shared" si="1"/>
        <v>132.30769230769232</v>
      </c>
      <c r="O29" s="10">
        <f t="shared" si="2"/>
        <v>0.13846153846153847</v>
      </c>
      <c r="P29" s="10">
        <f t="shared" si="3"/>
        <v>3.5897435897435902E-2</v>
      </c>
      <c r="Q29" s="10">
        <f t="shared" si="4"/>
        <v>557.01538461538462</v>
      </c>
      <c r="R29" s="10">
        <f t="shared" si="5"/>
        <v>0.58292307692307699</v>
      </c>
      <c r="S29" s="10">
        <f t="shared" si="6"/>
        <v>7.2222222222222214</v>
      </c>
      <c r="T29" s="10">
        <f t="shared" si="7"/>
        <v>150.39415384615384</v>
      </c>
      <c r="U29" s="8">
        <v>45307</v>
      </c>
      <c r="V29" s="7" t="s">
        <v>30</v>
      </c>
      <c r="W29" s="7" t="s">
        <v>86</v>
      </c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35">
      <c r="A30" s="7"/>
      <c r="B30" s="7" t="s">
        <v>100</v>
      </c>
      <c r="C30" s="7" t="s">
        <v>101</v>
      </c>
      <c r="D30" s="7">
        <v>29348745</v>
      </c>
      <c r="E30" s="11">
        <v>27391</v>
      </c>
      <c r="F30" s="9">
        <f>DATEDIF(E30, U30, "Y")</f>
        <v>49</v>
      </c>
      <c r="G30" s="8">
        <v>45267</v>
      </c>
      <c r="H30" s="7">
        <v>335</v>
      </c>
      <c r="I30" s="7">
        <v>8.7100000000000009</v>
      </c>
      <c r="J30" s="7">
        <v>0.26</v>
      </c>
      <c r="K30" s="7">
        <v>0.45</v>
      </c>
      <c r="L30" s="7">
        <v>2.72</v>
      </c>
      <c r="M30" s="10">
        <f t="shared" si="0"/>
        <v>3.2022058823529411</v>
      </c>
      <c r="N30" s="10">
        <f t="shared" si="1"/>
        <v>123.16176470588235</v>
      </c>
      <c r="O30" s="10">
        <f t="shared" si="2"/>
        <v>0.16544117647058823</v>
      </c>
      <c r="P30" s="10">
        <f t="shared" si="3"/>
        <v>9.5588235294117641E-2</v>
      </c>
      <c r="Q30" s="10">
        <f t="shared" si="4"/>
        <v>1072.7389705882354</v>
      </c>
      <c r="R30" s="10">
        <f t="shared" si="5"/>
        <v>1.4409926470588237</v>
      </c>
      <c r="S30" s="10">
        <f t="shared" si="6"/>
        <v>6.0444444444444443</v>
      </c>
      <c r="T30" s="10">
        <f t="shared" si="7"/>
        <v>482.73253676470597</v>
      </c>
      <c r="U30" s="8">
        <v>45307</v>
      </c>
      <c r="V30" s="7" t="s">
        <v>25</v>
      </c>
      <c r="W30" s="7" t="s">
        <v>86</v>
      </c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35">
      <c r="A31" s="7"/>
      <c r="B31" s="7" t="s">
        <v>102</v>
      </c>
      <c r="C31" s="7" t="s">
        <v>103</v>
      </c>
      <c r="D31" s="7">
        <v>10476182</v>
      </c>
      <c r="E31" s="8">
        <v>33208</v>
      </c>
      <c r="F31" s="9">
        <f>DATEDIF(E31, U31, "Y")</f>
        <v>33</v>
      </c>
      <c r="G31" s="11">
        <v>45287</v>
      </c>
      <c r="H31" s="7">
        <v>160</v>
      </c>
      <c r="I31" s="7">
        <v>2.68</v>
      </c>
      <c r="J31" s="7">
        <v>0.03</v>
      </c>
      <c r="K31" s="7">
        <v>0.37</v>
      </c>
      <c r="L31" s="7">
        <v>1.46</v>
      </c>
      <c r="M31" s="10">
        <f t="shared" si="0"/>
        <v>1.8356164383561646</v>
      </c>
      <c r="N31" s="10">
        <f t="shared" si="1"/>
        <v>109.58904109589041</v>
      </c>
      <c r="O31" s="10">
        <f t="shared" si="2"/>
        <v>0.25342465753424659</v>
      </c>
      <c r="P31" s="10">
        <f t="shared" si="3"/>
        <v>2.0547945205479451E-2</v>
      </c>
      <c r="Q31" s="10">
        <f t="shared" si="4"/>
        <v>293.69863013698631</v>
      </c>
      <c r="R31" s="10">
        <f t="shared" si="5"/>
        <v>0.67917808219178089</v>
      </c>
      <c r="S31" s="10">
        <f t="shared" si="6"/>
        <v>3.9459459459459461</v>
      </c>
      <c r="T31" s="10">
        <f t="shared" si="7"/>
        <v>108.66849315068494</v>
      </c>
      <c r="U31" s="8">
        <v>45308</v>
      </c>
      <c r="V31" s="7" t="s">
        <v>30</v>
      </c>
      <c r="W31" s="7" t="s">
        <v>86</v>
      </c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35">
      <c r="A32" s="7"/>
      <c r="B32" s="7" t="s">
        <v>104</v>
      </c>
      <c r="C32" s="7" t="s">
        <v>105</v>
      </c>
      <c r="D32" s="7">
        <v>47506092</v>
      </c>
      <c r="E32" s="11">
        <v>28810</v>
      </c>
      <c r="F32" s="9">
        <f>DATEDIF(E32, U32, "Y")</f>
        <v>45</v>
      </c>
      <c r="G32" s="11">
        <v>45224</v>
      </c>
      <c r="H32" s="7">
        <v>193</v>
      </c>
      <c r="I32" s="7">
        <v>2.5299999999999998</v>
      </c>
      <c r="J32" s="7">
        <v>7.0000000000000007E-2</v>
      </c>
      <c r="K32" s="7">
        <v>0.28000000000000003</v>
      </c>
      <c r="L32" s="7">
        <v>1.5</v>
      </c>
      <c r="M32" s="10">
        <f t="shared" si="0"/>
        <v>1.6866666666666665</v>
      </c>
      <c r="N32" s="10">
        <f t="shared" si="1"/>
        <v>128.66666666666666</v>
      </c>
      <c r="O32" s="10">
        <f t="shared" si="2"/>
        <v>0.18666666666666668</v>
      </c>
      <c r="P32" s="10">
        <f t="shared" si="3"/>
        <v>4.6666666666666669E-2</v>
      </c>
      <c r="Q32" s="10">
        <f t="shared" si="4"/>
        <v>325.52666666666664</v>
      </c>
      <c r="R32" s="10">
        <f t="shared" si="5"/>
        <v>0.47226666666666667</v>
      </c>
      <c r="S32" s="10">
        <f t="shared" si="6"/>
        <v>5.3571428571428568</v>
      </c>
      <c r="T32" s="10">
        <f t="shared" si="7"/>
        <v>91.147466666666674</v>
      </c>
      <c r="U32" s="8">
        <v>45308</v>
      </c>
      <c r="V32" s="7" t="s">
        <v>25</v>
      </c>
      <c r="W32" s="7" t="s">
        <v>86</v>
      </c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35">
      <c r="A33" s="7"/>
      <c r="B33" s="7" t="s">
        <v>38</v>
      </c>
      <c r="C33" s="7" t="s">
        <v>32</v>
      </c>
      <c r="D33" s="7">
        <v>29588696</v>
      </c>
      <c r="E33" s="8">
        <v>30407</v>
      </c>
      <c r="F33" s="9">
        <f>DATEDIF(E33, U33, "Y")</f>
        <v>40</v>
      </c>
      <c r="G33" s="8">
        <v>45295</v>
      </c>
      <c r="H33" s="7">
        <v>294</v>
      </c>
      <c r="I33" s="7">
        <v>3.88</v>
      </c>
      <c r="J33" s="7">
        <v>0.12</v>
      </c>
      <c r="K33" s="7">
        <v>0.68</v>
      </c>
      <c r="L33" s="7">
        <v>1.83</v>
      </c>
      <c r="M33" s="10">
        <f t="shared" si="0"/>
        <v>2.1202185792349724</v>
      </c>
      <c r="N33" s="10">
        <f t="shared" si="1"/>
        <v>160.65573770491804</v>
      </c>
      <c r="O33" s="10">
        <f t="shared" si="2"/>
        <v>0.37158469945355194</v>
      </c>
      <c r="P33" s="10">
        <f t="shared" si="3"/>
        <v>6.5573770491803268E-2</v>
      </c>
      <c r="Q33" s="10">
        <f t="shared" si="4"/>
        <v>623.34426229508199</v>
      </c>
      <c r="R33" s="10">
        <f t="shared" si="5"/>
        <v>1.4417486338797816</v>
      </c>
      <c r="S33" s="10">
        <f t="shared" si="6"/>
        <v>2.6911764705882351</v>
      </c>
      <c r="T33" s="10">
        <f t="shared" si="7"/>
        <v>423.87409836065575</v>
      </c>
      <c r="U33" s="8">
        <v>45309</v>
      </c>
      <c r="V33" s="7" t="s">
        <v>30</v>
      </c>
      <c r="W33" s="7" t="s">
        <v>86</v>
      </c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35">
      <c r="A34" s="7"/>
      <c r="B34" s="7" t="s">
        <v>106</v>
      </c>
      <c r="C34" s="7" t="s">
        <v>31</v>
      </c>
      <c r="D34" s="7">
        <v>36905628</v>
      </c>
      <c r="E34" s="8">
        <v>32529</v>
      </c>
      <c r="F34" s="9">
        <f>DATEDIF(E34, U34, "Y")</f>
        <v>34</v>
      </c>
      <c r="G34" s="11">
        <v>45254</v>
      </c>
      <c r="H34" s="7">
        <v>267</v>
      </c>
      <c r="I34" s="7">
        <v>5.55</v>
      </c>
      <c r="J34" s="7">
        <v>0.24</v>
      </c>
      <c r="K34" s="7">
        <v>0.47</v>
      </c>
      <c r="L34" s="7">
        <v>2.35</v>
      </c>
      <c r="M34" s="10">
        <f t="shared" si="0"/>
        <v>2.3617021276595742</v>
      </c>
      <c r="N34" s="10">
        <f t="shared" si="1"/>
        <v>113.61702127659574</v>
      </c>
      <c r="O34" s="10">
        <f t="shared" si="2"/>
        <v>0.19999999999999998</v>
      </c>
      <c r="P34" s="10">
        <f t="shared" si="3"/>
        <v>0.10212765957446808</v>
      </c>
      <c r="Q34" s="10">
        <f t="shared" si="4"/>
        <v>630.57446808510633</v>
      </c>
      <c r="R34" s="10">
        <f t="shared" si="5"/>
        <v>1.1099999999999999</v>
      </c>
      <c r="S34" s="10">
        <f t="shared" si="6"/>
        <v>5.0000000000000009</v>
      </c>
      <c r="T34" s="10">
        <f t="shared" si="7"/>
        <v>296.36999999999995</v>
      </c>
      <c r="U34" s="8">
        <v>45309</v>
      </c>
      <c r="V34" s="7" t="s">
        <v>30</v>
      </c>
      <c r="W34" s="7" t="s">
        <v>107</v>
      </c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35">
      <c r="A35" s="7"/>
      <c r="B35" s="7" t="s">
        <v>108</v>
      </c>
      <c r="C35" s="7" t="s">
        <v>80</v>
      </c>
      <c r="D35" s="7">
        <v>24601627</v>
      </c>
      <c r="E35" s="8">
        <v>30319</v>
      </c>
      <c r="F35" s="9">
        <f>DATEDIF(E35, U35, "Y")</f>
        <v>41</v>
      </c>
      <c r="G35" s="11">
        <v>45257</v>
      </c>
      <c r="H35" s="7">
        <v>275</v>
      </c>
      <c r="I35" s="7">
        <v>2.96</v>
      </c>
      <c r="J35" s="7">
        <v>0.08</v>
      </c>
      <c r="K35" s="7">
        <v>0.34</v>
      </c>
      <c r="L35" s="7">
        <v>1.41</v>
      </c>
      <c r="M35" s="10">
        <f t="shared" si="0"/>
        <v>2.0992907801418439</v>
      </c>
      <c r="N35" s="10">
        <f t="shared" si="1"/>
        <v>195.03546099290782</v>
      </c>
      <c r="O35" s="10">
        <f t="shared" si="2"/>
        <v>0.24113475177304969</v>
      </c>
      <c r="P35" s="10">
        <f t="shared" si="3"/>
        <v>5.6737588652482275E-2</v>
      </c>
      <c r="Q35" s="10">
        <f t="shared" si="4"/>
        <v>577.30496453900707</v>
      </c>
      <c r="R35" s="10">
        <f t="shared" si="5"/>
        <v>0.71375886524822696</v>
      </c>
      <c r="S35" s="10">
        <f t="shared" si="6"/>
        <v>4.1470588235294112</v>
      </c>
      <c r="T35" s="10">
        <f t="shared" si="7"/>
        <v>196.28368794326241</v>
      </c>
      <c r="U35" s="8">
        <v>45310</v>
      </c>
      <c r="V35" s="7" t="s">
        <v>30</v>
      </c>
      <c r="W35" s="7" t="s">
        <v>86</v>
      </c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35">
      <c r="A36" s="7"/>
      <c r="B36" s="7" t="s">
        <v>109</v>
      </c>
      <c r="C36" s="7" t="s">
        <v>110</v>
      </c>
      <c r="D36" s="7">
        <v>19236025</v>
      </c>
      <c r="E36" s="8">
        <v>27787</v>
      </c>
      <c r="F36" s="9">
        <f>DATEDIF(E36, U36, "Y")</f>
        <v>47</v>
      </c>
      <c r="G36" s="8">
        <v>45310</v>
      </c>
      <c r="H36" s="7">
        <v>388</v>
      </c>
      <c r="I36" s="7">
        <v>4.7699999999999996</v>
      </c>
      <c r="J36" s="7">
        <v>0.11</v>
      </c>
      <c r="K36" s="7">
        <v>0.69</v>
      </c>
      <c r="L36" s="7">
        <v>1.88</v>
      </c>
      <c r="M36" s="10">
        <f t="shared" si="0"/>
        <v>2.5372340425531914</v>
      </c>
      <c r="N36" s="10">
        <f t="shared" si="1"/>
        <v>206.38297872340428</v>
      </c>
      <c r="O36" s="10">
        <f t="shared" si="2"/>
        <v>0.36702127659574468</v>
      </c>
      <c r="P36" s="10">
        <f t="shared" si="3"/>
        <v>5.8510638297872342E-2</v>
      </c>
      <c r="Q36" s="10">
        <f t="shared" si="4"/>
        <v>984.44680851063822</v>
      </c>
      <c r="R36" s="10">
        <f t="shared" si="5"/>
        <v>1.750691489361702</v>
      </c>
      <c r="S36" s="10">
        <f t="shared" si="6"/>
        <v>2.7246376811594204</v>
      </c>
      <c r="T36" s="10">
        <f t="shared" si="7"/>
        <v>679.26829787234033</v>
      </c>
      <c r="U36" s="8">
        <v>45311</v>
      </c>
      <c r="V36" s="7" t="s">
        <v>24</v>
      </c>
      <c r="W36" s="7" t="s">
        <v>68</v>
      </c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35">
      <c r="A37" s="7"/>
      <c r="B37" s="7" t="s">
        <v>111</v>
      </c>
      <c r="C37" s="7" t="s">
        <v>112</v>
      </c>
      <c r="D37" s="7">
        <v>46662417</v>
      </c>
      <c r="E37" s="8">
        <v>26725</v>
      </c>
      <c r="F37" s="9">
        <f>DATEDIF(E37, U37, "Y")</f>
        <v>50</v>
      </c>
      <c r="G37" s="11">
        <v>45278</v>
      </c>
      <c r="H37" s="7">
        <v>296</v>
      </c>
      <c r="I37" s="7">
        <v>3.56</v>
      </c>
      <c r="J37" s="7">
        <v>0.17</v>
      </c>
      <c r="K37" s="7">
        <v>0.38</v>
      </c>
      <c r="L37" s="7">
        <v>1.64</v>
      </c>
      <c r="M37" s="10">
        <f t="shared" si="0"/>
        <v>2.1707317073170733</v>
      </c>
      <c r="N37" s="10">
        <f t="shared" si="1"/>
        <v>180.48780487804879</v>
      </c>
      <c r="O37" s="10">
        <f t="shared" si="2"/>
        <v>0.23170731707317074</v>
      </c>
      <c r="P37" s="10">
        <f t="shared" si="3"/>
        <v>0.10365853658536586</v>
      </c>
      <c r="Q37" s="10">
        <f t="shared" si="4"/>
        <v>642.53658536585374</v>
      </c>
      <c r="R37" s="10">
        <f t="shared" si="5"/>
        <v>0.82487804878048787</v>
      </c>
      <c r="S37" s="10">
        <f t="shared" si="6"/>
        <v>4.3157894736842106</v>
      </c>
      <c r="T37" s="10">
        <f t="shared" si="7"/>
        <v>244.16390243902441</v>
      </c>
      <c r="U37" s="8">
        <v>45311</v>
      </c>
      <c r="V37" s="7" t="s">
        <v>24</v>
      </c>
      <c r="W37" s="7" t="s">
        <v>86</v>
      </c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35">
      <c r="A38" s="7"/>
      <c r="B38" s="7" t="s">
        <v>113</v>
      </c>
      <c r="C38" s="7" t="s">
        <v>114</v>
      </c>
      <c r="D38" s="7">
        <v>50826940</v>
      </c>
      <c r="E38" s="8">
        <v>20708</v>
      </c>
      <c r="F38" s="9">
        <f>DATEDIF(E38, U38, "Y")</f>
        <v>67</v>
      </c>
      <c r="G38" s="8">
        <v>45306</v>
      </c>
      <c r="H38" s="7">
        <v>261</v>
      </c>
      <c r="I38" s="7">
        <v>4.91</v>
      </c>
      <c r="J38" s="7">
        <v>0.03</v>
      </c>
      <c r="K38" s="7">
        <v>0.28000000000000003</v>
      </c>
      <c r="L38" s="7">
        <v>1.8</v>
      </c>
      <c r="M38" s="10">
        <f t="shared" si="0"/>
        <v>2.7277777777777779</v>
      </c>
      <c r="N38" s="10">
        <f t="shared" si="1"/>
        <v>145</v>
      </c>
      <c r="O38" s="10">
        <f t="shared" si="2"/>
        <v>0.15555555555555556</v>
      </c>
      <c r="P38" s="10">
        <f t="shared" si="3"/>
        <v>1.6666666666666666E-2</v>
      </c>
      <c r="Q38" s="10">
        <f t="shared" si="4"/>
        <v>711.94999999999993</v>
      </c>
      <c r="R38" s="10">
        <f t="shared" si="5"/>
        <v>0.76377777777777789</v>
      </c>
      <c r="S38" s="10">
        <f t="shared" si="6"/>
        <v>6.4285714285714279</v>
      </c>
      <c r="T38" s="10">
        <f t="shared" si="7"/>
        <v>199.34600000000003</v>
      </c>
      <c r="U38" s="8">
        <v>45310</v>
      </c>
      <c r="V38" s="7" t="s">
        <v>24</v>
      </c>
      <c r="W38" s="7" t="s">
        <v>115</v>
      </c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35">
      <c r="A39" s="7"/>
      <c r="B39" s="7" t="s">
        <v>116</v>
      </c>
      <c r="C39" s="7" t="s">
        <v>117</v>
      </c>
      <c r="D39" s="7">
        <v>50395870</v>
      </c>
      <c r="E39" s="8">
        <v>31693</v>
      </c>
      <c r="F39" s="9">
        <f>DATEDIF(E39, U39, "Y")</f>
        <v>37</v>
      </c>
      <c r="G39" s="8">
        <v>45299</v>
      </c>
      <c r="H39" s="7">
        <v>297</v>
      </c>
      <c r="I39" s="7">
        <v>4.0999999999999996</v>
      </c>
      <c r="J39" s="7">
        <v>0.1</v>
      </c>
      <c r="K39" s="7">
        <v>0.24</v>
      </c>
      <c r="L39" s="7">
        <v>1.32</v>
      </c>
      <c r="M39" s="10">
        <f t="shared" si="0"/>
        <v>3.1060606060606055</v>
      </c>
      <c r="N39" s="10">
        <f t="shared" si="1"/>
        <v>225</v>
      </c>
      <c r="O39" s="10">
        <f t="shared" si="2"/>
        <v>0.1818181818181818</v>
      </c>
      <c r="P39" s="10">
        <f t="shared" si="3"/>
        <v>7.575757575757576E-2</v>
      </c>
      <c r="Q39" s="10">
        <f t="shared" si="4"/>
        <v>922.49999999999977</v>
      </c>
      <c r="R39" s="10">
        <f t="shared" si="5"/>
        <v>0.74545454545454537</v>
      </c>
      <c r="S39" s="10">
        <f t="shared" si="6"/>
        <v>5.5000000000000009</v>
      </c>
      <c r="T39" s="10">
        <f t="shared" si="7"/>
        <v>221.39999999999998</v>
      </c>
      <c r="U39" s="8">
        <v>45311</v>
      </c>
      <c r="V39" s="7" t="s">
        <v>30</v>
      </c>
      <c r="W39" s="7" t="s">
        <v>86</v>
      </c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35">
      <c r="A40" s="7"/>
      <c r="B40" s="7" t="s">
        <v>118</v>
      </c>
      <c r="C40" s="7" t="s">
        <v>119</v>
      </c>
      <c r="D40" s="7">
        <v>45975927</v>
      </c>
      <c r="E40" s="8">
        <v>33508</v>
      </c>
      <c r="F40" s="9">
        <f>DATEDIF(E40, U40, "Y")</f>
        <v>32</v>
      </c>
      <c r="G40" s="11">
        <v>45251</v>
      </c>
      <c r="H40" s="7">
        <v>202</v>
      </c>
      <c r="I40" s="7">
        <v>3.42</v>
      </c>
      <c r="J40" s="7">
        <v>0.09</v>
      </c>
      <c r="K40" s="7">
        <v>0.35</v>
      </c>
      <c r="L40" s="7">
        <v>1.65</v>
      </c>
      <c r="M40" s="10">
        <f t="shared" si="0"/>
        <v>2.0727272727272728</v>
      </c>
      <c r="N40" s="10">
        <f t="shared" si="1"/>
        <v>122.42424242424244</v>
      </c>
      <c r="O40" s="10">
        <f t="shared" si="2"/>
        <v>0.21212121212121213</v>
      </c>
      <c r="P40" s="10">
        <f t="shared" si="3"/>
        <v>5.454545454545455E-2</v>
      </c>
      <c r="Q40" s="10">
        <f t="shared" si="4"/>
        <v>418.69090909090914</v>
      </c>
      <c r="R40" s="10">
        <f t="shared" si="5"/>
        <v>0.72545454545454535</v>
      </c>
      <c r="S40" s="10">
        <f t="shared" si="6"/>
        <v>4.7142857142857144</v>
      </c>
      <c r="T40" s="10">
        <f t="shared" si="7"/>
        <v>146.54181818181817</v>
      </c>
      <c r="U40" s="8">
        <v>45311</v>
      </c>
      <c r="V40" s="7" t="s">
        <v>30</v>
      </c>
      <c r="W40" s="7" t="s">
        <v>86</v>
      </c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35">
      <c r="A41" s="7"/>
      <c r="B41" s="7" t="s">
        <v>120</v>
      </c>
      <c r="C41" s="7" t="s">
        <v>121</v>
      </c>
      <c r="D41" s="7">
        <v>50340918</v>
      </c>
      <c r="E41" s="8">
        <v>33748</v>
      </c>
      <c r="F41" s="9">
        <f>DATEDIF(E41, U41, "Y")</f>
        <v>31</v>
      </c>
      <c r="G41" s="11">
        <v>45289</v>
      </c>
      <c r="H41" s="7">
        <v>167</v>
      </c>
      <c r="I41" s="7">
        <v>2.84</v>
      </c>
      <c r="J41" s="7">
        <v>0.04</v>
      </c>
      <c r="K41" s="7">
        <v>0.17</v>
      </c>
      <c r="L41" s="7">
        <v>1.17</v>
      </c>
      <c r="M41" s="10">
        <f t="shared" si="0"/>
        <v>2.4273504273504272</v>
      </c>
      <c r="N41" s="10">
        <f t="shared" si="1"/>
        <v>142.73504273504275</v>
      </c>
      <c r="O41" s="10">
        <f t="shared" si="2"/>
        <v>0.14529914529914531</v>
      </c>
      <c r="P41" s="10">
        <f t="shared" si="3"/>
        <v>3.4188034188034191E-2</v>
      </c>
      <c r="Q41" s="10">
        <f t="shared" si="4"/>
        <v>405.36752136752136</v>
      </c>
      <c r="R41" s="10">
        <f t="shared" si="5"/>
        <v>0.41264957264957269</v>
      </c>
      <c r="S41" s="10">
        <f t="shared" si="6"/>
        <v>6.8823529411764701</v>
      </c>
      <c r="T41" s="10">
        <f t="shared" si="7"/>
        <v>68.912478632478638</v>
      </c>
      <c r="U41" s="8">
        <v>45315</v>
      </c>
      <c r="V41" s="7" t="s">
        <v>30</v>
      </c>
      <c r="W41" s="7" t="s">
        <v>86</v>
      </c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35">
      <c r="A42" s="7"/>
      <c r="B42" s="7" t="s">
        <v>122</v>
      </c>
      <c r="C42" s="7" t="s">
        <v>123</v>
      </c>
      <c r="D42" s="7">
        <v>18453407</v>
      </c>
      <c r="E42" s="11">
        <v>26260</v>
      </c>
      <c r="F42" s="9">
        <f>DATEDIF(E42, U42, "Y")</f>
        <v>52</v>
      </c>
      <c r="G42" s="8">
        <v>45307</v>
      </c>
      <c r="H42" s="7">
        <v>207</v>
      </c>
      <c r="I42" s="7">
        <v>5.41</v>
      </c>
      <c r="J42" s="7">
        <v>0.31</v>
      </c>
      <c r="K42" s="7">
        <v>0.31</v>
      </c>
      <c r="L42" s="7">
        <v>1.3</v>
      </c>
      <c r="M42" s="10">
        <f t="shared" si="0"/>
        <v>4.1615384615384619</v>
      </c>
      <c r="N42" s="10">
        <f t="shared" si="1"/>
        <v>159.23076923076923</v>
      </c>
      <c r="O42" s="10">
        <f t="shared" si="2"/>
        <v>0.23846153846153845</v>
      </c>
      <c r="P42" s="10">
        <f t="shared" si="3"/>
        <v>0.23846153846153845</v>
      </c>
      <c r="Q42" s="10">
        <f t="shared" si="4"/>
        <v>861.43846153846164</v>
      </c>
      <c r="R42" s="10">
        <f t="shared" si="5"/>
        <v>1.2900769230769231</v>
      </c>
      <c r="S42" s="10">
        <f t="shared" si="6"/>
        <v>4.193548387096774</v>
      </c>
      <c r="T42" s="10">
        <f t="shared" si="7"/>
        <v>267.04592307692303</v>
      </c>
      <c r="U42" s="8">
        <v>45315</v>
      </c>
      <c r="V42" s="7" t="s">
        <v>24</v>
      </c>
      <c r="W42" s="7" t="s">
        <v>86</v>
      </c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35">
      <c r="A43" s="7"/>
      <c r="B43" s="7" t="s">
        <v>124</v>
      </c>
      <c r="C43" s="7" t="s">
        <v>125</v>
      </c>
      <c r="D43" s="7">
        <v>42340349</v>
      </c>
      <c r="E43" s="11">
        <v>27681</v>
      </c>
      <c r="F43" s="9">
        <f>DATEDIF(E43, U43, "Y")</f>
        <v>48</v>
      </c>
      <c r="G43" s="8">
        <v>45308</v>
      </c>
      <c r="H43" s="7">
        <v>371</v>
      </c>
      <c r="I43" s="7">
        <v>4.92</v>
      </c>
      <c r="J43" s="7">
        <v>0.11</v>
      </c>
      <c r="K43" s="7">
        <v>0.51</v>
      </c>
      <c r="L43" s="7">
        <v>1.93</v>
      </c>
      <c r="M43" s="10">
        <f t="shared" si="0"/>
        <v>2.5492227979274613</v>
      </c>
      <c r="N43" s="10">
        <f t="shared" si="1"/>
        <v>192.22797927461141</v>
      </c>
      <c r="O43" s="10">
        <f t="shared" si="2"/>
        <v>0.26424870466321243</v>
      </c>
      <c r="P43" s="10">
        <f t="shared" si="3"/>
        <v>5.6994818652849742E-2</v>
      </c>
      <c r="Q43" s="10">
        <f t="shared" si="4"/>
        <v>945.76165803108813</v>
      </c>
      <c r="R43" s="10">
        <f t="shared" si="5"/>
        <v>1.3001036269430051</v>
      </c>
      <c r="S43" s="10">
        <f t="shared" si="6"/>
        <v>3.784313725490196</v>
      </c>
      <c r="T43" s="10">
        <f t="shared" si="7"/>
        <v>482.33844559585492</v>
      </c>
      <c r="U43" s="8">
        <v>45315</v>
      </c>
      <c r="V43" s="7" t="s">
        <v>24</v>
      </c>
      <c r="W43" s="7" t="s">
        <v>86</v>
      </c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35">
      <c r="A44" s="7"/>
      <c r="B44" s="7" t="s">
        <v>126</v>
      </c>
      <c r="C44" s="7" t="s">
        <v>127</v>
      </c>
      <c r="D44" s="7">
        <v>46869897</v>
      </c>
      <c r="E44" s="8">
        <v>18722</v>
      </c>
      <c r="F44" s="9">
        <f>DATEDIF(E44, U44, "Y")</f>
        <v>72</v>
      </c>
      <c r="G44" s="8">
        <v>45303</v>
      </c>
      <c r="H44" s="7">
        <v>323</v>
      </c>
      <c r="I44" s="7">
        <v>6.02</v>
      </c>
      <c r="J44" s="7">
        <v>0.1</v>
      </c>
      <c r="K44" s="7">
        <v>0.32</v>
      </c>
      <c r="L44" s="7">
        <v>2.09</v>
      </c>
      <c r="M44" s="10">
        <f t="shared" si="0"/>
        <v>2.8803827751196174</v>
      </c>
      <c r="N44" s="10">
        <f t="shared" si="1"/>
        <v>154.54545454545456</v>
      </c>
      <c r="O44" s="10">
        <f t="shared" si="2"/>
        <v>0.15311004784688997</v>
      </c>
      <c r="P44" s="10">
        <f t="shared" si="3"/>
        <v>4.7846889952153117E-2</v>
      </c>
      <c r="Q44" s="10">
        <f t="shared" si="4"/>
        <v>930.36363636363637</v>
      </c>
      <c r="R44" s="10">
        <f t="shared" si="5"/>
        <v>0.9217224880382775</v>
      </c>
      <c r="S44" s="10">
        <f t="shared" si="6"/>
        <v>6.5312499999999991</v>
      </c>
      <c r="T44" s="10">
        <f t="shared" si="7"/>
        <v>297.71636363636361</v>
      </c>
      <c r="U44" s="8">
        <v>45318</v>
      </c>
      <c r="V44" s="7" t="s">
        <v>85</v>
      </c>
      <c r="W44" s="7" t="s">
        <v>68</v>
      </c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35">
      <c r="A45" s="7"/>
      <c r="B45" s="7" t="s">
        <v>128</v>
      </c>
      <c r="C45" s="7" t="s">
        <v>23</v>
      </c>
      <c r="D45" s="7">
        <v>45312287</v>
      </c>
      <c r="E45" s="11">
        <v>26652</v>
      </c>
      <c r="F45" s="9">
        <f>DATEDIF(E45, U45, "Y")</f>
        <v>51</v>
      </c>
      <c r="G45" s="8">
        <v>45296</v>
      </c>
      <c r="H45" s="7">
        <v>203</v>
      </c>
      <c r="I45" s="7">
        <v>4.18</v>
      </c>
      <c r="J45" s="7">
        <v>0.28999999999999998</v>
      </c>
      <c r="K45" s="7">
        <v>0.54</v>
      </c>
      <c r="L45" s="7">
        <v>2.59</v>
      </c>
      <c r="M45" s="10">
        <f t="shared" si="0"/>
        <v>1.6138996138996138</v>
      </c>
      <c r="N45" s="10">
        <f t="shared" si="1"/>
        <v>78.378378378378386</v>
      </c>
      <c r="O45" s="10">
        <f t="shared" si="2"/>
        <v>0.20849420849420852</v>
      </c>
      <c r="P45" s="10">
        <f t="shared" si="3"/>
        <v>0.11196911196911197</v>
      </c>
      <c r="Q45" s="10">
        <f t="shared" si="4"/>
        <v>327.62162162162161</v>
      </c>
      <c r="R45" s="10">
        <f t="shared" si="5"/>
        <v>0.87150579150579155</v>
      </c>
      <c r="S45" s="10">
        <f t="shared" si="6"/>
        <v>4.7962962962962958</v>
      </c>
      <c r="T45" s="10">
        <f t="shared" si="7"/>
        <v>176.91567567567569</v>
      </c>
      <c r="U45" s="8">
        <v>45318</v>
      </c>
      <c r="V45" s="7" t="s">
        <v>24</v>
      </c>
      <c r="W45" s="7" t="s">
        <v>86</v>
      </c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35">
      <c r="A46" s="7"/>
      <c r="B46" s="7" t="s">
        <v>129</v>
      </c>
      <c r="C46" s="7" t="s">
        <v>130</v>
      </c>
      <c r="D46" s="7">
        <v>50124726</v>
      </c>
      <c r="E46" s="8">
        <v>31128</v>
      </c>
      <c r="F46" s="9">
        <f>DATEDIF(E46, U46, "Y")</f>
        <v>38</v>
      </c>
      <c r="G46" s="8">
        <v>45307</v>
      </c>
      <c r="H46" s="7">
        <v>271</v>
      </c>
      <c r="I46" s="7">
        <v>5.05</v>
      </c>
      <c r="J46" s="7">
        <v>0.1</v>
      </c>
      <c r="K46" s="7">
        <v>0.28000000000000003</v>
      </c>
      <c r="L46" s="7">
        <v>2.44</v>
      </c>
      <c r="M46" s="10">
        <f t="shared" si="0"/>
        <v>2.069672131147541</v>
      </c>
      <c r="N46" s="10">
        <f t="shared" si="1"/>
        <v>111.06557377049181</v>
      </c>
      <c r="O46" s="10">
        <f t="shared" si="2"/>
        <v>0.11475409836065575</v>
      </c>
      <c r="P46" s="10">
        <f t="shared" si="3"/>
        <v>4.0983606557377053E-2</v>
      </c>
      <c r="Q46" s="10">
        <f t="shared" si="4"/>
        <v>560.88114754098365</v>
      </c>
      <c r="R46" s="10">
        <f t="shared" si="5"/>
        <v>0.5795081967213116</v>
      </c>
      <c r="S46" s="10">
        <f t="shared" si="6"/>
        <v>8.7142857142857135</v>
      </c>
      <c r="T46" s="10">
        <f t="shared" si="7"/>
        <v>157.04672131147541</v>
      </c>
      <c r="U46" s="8">
        <v>45318</v>
      </c>
      <c r="V46" s="7" t="s">
        <v>30</v>
      </c>
      <c r="W46" s="7" t="s">
        <v>86</v>
      </c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35">
      <c r="A47" s="7"/>
      <c r="B47" s="7" t="s">
        <v>131</v>
      </c>
      <c r="C47" s="7" t="s">
        <v>132</v>
      </c>
      <c r="D47" s="7">
        <v>41180407</v>
      </c>
      <c r="E47" s="11">
        <v>20382</v>
      </c>
      <c r="F47" s="9">
        <f>DATEDIF(E47, U47, "Y")</f>
        <v>68</v>
      </c>
      <c r="G47" s="8">
        <v>45320</v>
      </c>
      <c r="H47" s="7">
        <v>193</v>
      </c>
      <c r="I47" s="7">
        <v>3.14</v>
      </c>
      <c r="J47" s="7">
        <v>0.36</v>
      </c>
      <c r="K47" s="7">
        <v>0.33</v>
      </c>
      <c r="L47" s="7">
        <v>2.67</v>
      </c>
      <c r="M47" s="10">
        <f t="shared" si="0"/>
        <v>1.1760299625468165</v>
      </c>
      <c r="N47" s="10">
        <f t="shared" si="1"/>
        <v>72.284644194756552</v>
      </c>
      <c r="O47" s="10">
        <f t="shared" si="2"/>
        <v>0.12359550561797754</v>
      </c>
      <c r="P47" s="10">
        <f t="shared" si="3"/>
        <v>0.1348314606741573</v>
      </c>
      <c r="Q47" s="10">
        <f t="shared" si="4"/>
        <v>226.97378277153558</v>
      </c>
      <c r="R47" s="10">
        <f t="shared" si="5"/>
        <v>0.38808988764044944</v>
      </c>
      <c r="S47" s="10">
        <f t="shared" si="6"/>
        <v>8.0909090909090899</v>
      </c>
      <c r="T47" s="10">
        <f t="shared" si="7"/>
        <v>74.90134831460675</v>
      </c>
      <c r="U47" s="8">
        <v>45320</v>
      </c>
      <c r="V47" s="7" t="s">
        <v>24</v>
      </c>
      <c r="W47" s="7" t="s">
        <v>86</v>
      </c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35">
      <c r="A48" s="7"/>
      <c r="B48" s="7" t="s">
        <v>133</v>
      </c>
      <c r="C48" s="7" t="s">
        <v>134</v>
      </c>
      <c r="D48" s="7">
        <v>15275449</v>
      </c>
      <c r="E48" s="8">
        <v>14512</v>
      </c>
      <c r="F48" s="9">
        <f>DATEDIF(E48, U48, "Y")</f>
        <v>84</v>
      </c>
      <c r="G48" s="8">
        <v>45310</v>
      </c>
      <c r="H48" s="7">
        <v>238</v>
      </c>
      <c r="I48" s="7">
        <v>2.7</v>
      </c>
      <c r="J48" s="7">
        <v>0.27</v>
      </c>
      <c r="K48" s="7">
        <v>0.59</v>
      </c>
      <c r="L48" s="7">
        <v>1.62</v>
      </c>
      <c r="M48" s="10">
        <f t="shared" si="0"/>
        <v>1.6666666666666667</v>
      </c>
      <c r="N48" s="10">
        <f t="shared" si="1"/>
        <v>146.91358024691357</v>
      </c>
      <c r="O48" s="10">
        <f t="shared" si="2"/>
        <v>0.36419753086419748</v>
      </c>
      <c r="P48" s="10">
        <f t="shared" si="3"/>
        <v>0.16666666666666666</v>
      </c>
      <c r="Q48" s="10">
        <f t="shared" si="4"/>
        <v>396.66666666666663</v>
      </c>
      <c r="R48" s="10">
        <f t="shared" si="5"/>
        <v>0.98333333333333328</v>
      </c>
      <c r="S48" s="10">
        <f t="shared" si="6"/>
        <v>2.745762711864407</v>
      </c>
      <c r="T48" s="10">
        <f t="shared" si="7"/>
        <v>234.03333333333333</v>
      </c>
      <c r="U48" s="8">
        <v>45322</v>
      </c>
      <c r="V48" s="7" t="s">
        <v>25</v>
      </c>
      <c r="W48" s="7" t="s">
        <v>86</v>
      </c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35">
      <c r="A49" s="7"/>
      <c r="B49" s="7" t="s">
        <v>135</v>
      </c>
      <c r="C49" s="7" t="s">
        <v>112</v>
      </c>
      <c r="D49" s="7">
        <v>27505981</v>
      </c>
      <c r="E49" s="8">
        <v>28297</v>
      </c>
      <c r="F49" s="9">
        <f>DATEDIF(E49, U49, "Y")</f>
        <v>46</v>
      </c>
      <c r="G49" s="8">
        <v>45309</v>
      </c>
      <c r="H49" s="7">
        <v>281</v>
      </c>
      <c r="I49" s="7">
        <v>5.66</v>
      </c>
      <c r="J49" s="7">
        <v>0.39</v>
      </c>
      <c r="K49" s="7">
        <v>0.47</v>
      </c>
      <c r="L49" s="7">
        <v>1.82</v>
      </c>
      <c r="M49" s="10">
        <f t="shared" si="0"/>
        <v>3.1098901098901099</v>
      </c>
      <c r="N49" s="10">
        <f t="shared" si="1"/>
        <v>154.39560439560438</v>
      </c>
      <c r="O49" s="10">
        <f t="shared" si="2"/>
        <v>0.25824175824175821</v>
      </c>
      <c r="P49" s="10">
        <f t="shared" si="3"/>
        <v>0.21428571428571427</v>
      </c>
      <c r="Q49" s="10">
        <f t="shared" si="4"/>
        <v>873.87912087912082</v>
      </c>
      <c r="R49" s="10">
        <f t="shared" si="5"/>
        <v>1.4616483516483516</v>
      </c>
      <c r="S49" s="10">
        <f t="shared" si="6"/>
        <v>3.8723404255319154</v>
      </c>
      <c r="T49" s="10">
        <f t="shared" si="7"/>
        <v>410.72318681318683</v>
      </c>
      <c r="U49" s="8">
        <v>45325</v>
      </c>
      <c r="V49" s="7" t="s">
        <v>30</v>
      </c>
      <c r="W49" s="7" t="s">
        <v>86</v>
      </c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35">
      <c r="A50" s="7"/>
      <c r="B50" s="7" t="s">
        <v>136</v>
      </c>
      <c r="C50" s="7" t="s">
        <v>46</v>
      </c>
      <c r="D50" s="7">
        <v>27505981</v>
      </c>
      <c r="E50" s="8">
        <v>24748</v>
      </c>
      <c r="F50" s="9">
        <f>DATEDIF(E50, U50, "Y")</f>
        <v>56</v>
      </c>
      <c r="G50" s="8">
        <v>45325</v>
      </c>
      <c r="H50" s="7">
        <v>203</v>
      </c>
      <c r="I50" s="7">
        <v>3.8</v>
      </c>
      <c r="J50" s="7">
        <v>0.05</v>
      </c>
      <c r="K50" s="7">
        <v>0.3</v>
      </c>
      <c r="L50" s="7">
        <v>1.84</v>
      </c>
      <c r="M50" s="10">
        <f t="shared" si="0"/>
        <v>2.0652173913043477</v>
      </c>
      <c r="N50" s="10">
        <f t="shared" si="1"/>
        <v>110.32608695652173</v>
      </c>
      <c r="O50" s="10">
        <f t="shared" si="2"/>
        <v>0.16304347826086954</v>
      </c>
      <c r="P50" s="10">
        <f t="shared" si="3"/>
        <v>2.717391304347826E-2</v>
      </c>
      <c r="Q50" s="10">
        <f t="shared" si="4"/>
        <v>419.23913043478257</v>
      </c>
      <c r="R50" s="10">
        <f t="shared" si="5"/>
        <v>0.61956521739130421</v>
      </c>
      <c r="S50" s="10">
        <f t="shared" si="6"/>
        <v>6.1333333333333337</v>
      </c>
      <c r="T50" s="10">
        <f t="shared" si="7"/>
        <v>125.77173913043477</v>
      </c>
      <c r="U50" s="8">
        <v>45325</v>
      </c>
      <c r="V50" s="7" t="s">
        <v>24</v>
      </c>
      <c r="W50" s="7" t="s">
        <v>86</v>
      </c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35">
      <c r="A51" s="7"/>
      <c r="B51" s="7" t="s">
        <v>137</v>
      </c>
      <c r="C51" s="7" t="s">
        <v>31</v>
      </c>
      <c r="D51" s="7">
        <v>50052653</v>
      </c>
      <c r="E51" s="8">
        <v>29785</v>
      </c>
      <c r="F51" s="9">
        <f>DATEDIF(E51, U51, "Y")</f>
        <v>42</v>
      </c>
      <c r="G51" s="8">
        <v>45314</v>
      </c>
      <c r="H51" s="7">
        <v>352</v>
      </c>
      <c r="I51" s="7">
        <v>5.71</v>
      </c>
      <c r="J51" s="7">
        <v>0.1</v>
      </c>
      <c r="K51" s="7">
        <v>0.39</v>
      </c>
      <c r="L51" s="7">
        <v>1.31</v>
      </c>
      <c r="M51" s="10">
        <f t="shared" si="0"/>
        <v>4.3587786259541978</v>
      </c>
      <c r="N51" s="10">
        <f t="shared" si="1"/>
        <v>268.70229007633588</v>
      </c>
      <c r="O51" s="10">
        <f t="shared" si="2"/>
        <v>0.29770992366412213</v>
      </c>
      <c r="P51" s="10">
        <f t="shared" si="3"/>
        <v>7.6335877862595422E-2</v>
      </c>
      <c r="Q51" s="10">
        <f t="shared" si="4"/>
        <v>1534.2900763358778</v>
      </c>
      <c r="R51" s="10">
        <f t="shared" si="5"/>
        <v>1.6999236641221374</v>
      </c>
      <c r="S51" s="10">
        <f t="shared" si="6"/>
        <v>3.358974358974359</v>
      </c>
      <c r="T51" s="10">
        <f t="shared" si="7"/>
        <v>598.37312977099236</v>
      </c>
      <c r="U51" s="8">
        <v>45325</v>
      </c>
      <c r="V51" s="7" t="s">
        <v>30</v>
      </c>
      <c r="W51" s="7" t="s">
        <v>86</v>
      </c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35">
      <c r="A52" s="7"/>
      <c r="B52" s="7" t="s">
        <v>138</v>
      </c>
      <c r="C52" s="7" t="s">
        <v>42</v>
      </c>
      <c r="D52" s="7">
        <v>24695181</v>
      </c>
      <c r="E52" s="8">
        <v>28206</v>
      </c>
      <c r="F52" s="9">
        <f>DATEDIF(E52, U52, "Y")</f>
        <v>46</v>
      </c>
      <c r="G52" s="11">
        <v>45281</v>
      </c>
      <c r="H52" s="7">
        <v>218</v>
      </c>
      <c r="I52" s="7">
        <v>4.0999999999999996</v>
      </c>
      <c r="J52" s="7">
        <v>0.04</v>
      </c>
      <c r="K52" s="7">
        <v>0.26</v>
      </c>
      <c r="L52" s="7">
        <v>1.41</v>
      </c>
      <c r="M52" s="10">
        <f t="shared" si="0"/>
        <v>2.9078014184397163</v>
      </c>
      <c r="N52" s="10">
        <f t="shared" si="1"/>
        <v>154.6099290780142</v>
      </c>
      <c r="O52" s="10">
        <f t="shared" si="2"/>
        <v>0.18439716312056739</v>
      </c>
      <c r="P52" s="10">
        <f t="shared" si="3"/>
        <v>2.8368794326241138E-2</v>
      </c>
      <c r="Q52" s="10">
        <f t="shared" si="4"/>
        <v>633.90070921985819</v>
      </c>
      <c r="R52" s="10">
        <f t="shared" si="5"/>
        <v>0.75602836879432622</v>
      </c>
      <c r="S52" s="10">
        <f t="shared" si="6"/>
        <v>5.4230769230769225</v>
      </c>
      <c r="T52" s="10">
        <f t="shared" si="7"/>
        <v>164.8141843971631</v>
      </c>
      <c r="U52" s="8">
        <v>45327</v>
      </c>
      <c r="V52" s="7" t="s">
        <v>25</v>
      </c>
      <c r="W52" s="7" t="s">
        <v>86</v>
      </c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35">
      <c r="A53" s="7"/>
      <c r="B53" s="7" t="s">
        <v>139</v>
      </c>
      <c r="C53" s="7" t="s">
        <v>140</v>
      </c>
      <c r="D53" s="7">
        <v>6565691</v>
      </c>
      <c r="E53" s="8">
        <v>15781</v>
      </c>
      <c r="F53" s="9">
        <f>DATEDIF(E53, U53, "Y")</f>
        <v>80</v>
      </c>
      <c r="G53" s="8">
        <v>45308</v>
      </c>
      <c r="H53" s="7">
        <v>187</v>
      </c>
      <c r="I53" s="7">
        <v>5.63</v>
      </c>
      <c r="J53" s="7">
        <v>0.06</v>
      </c>
      <c r="K53" s="7">
        <v>0.38</v>
      </c>
      <c r="L53" s="7">
        <v>1.3</v>
      </c>
      <c r="M53" s="10">
        <f t="shared" si="0"/>
        <v>4.3307692307692305</v>
      </c>
      <c r="N53" s="10">
        <f t="shared" si="1"/>
        <v>143.84615384615384</v>
      </c>
      <c r="O53" s="10">
        <f t="shared" si="2"/>
        <v>0.29230769230769232</v>
      </c>
      <c r="P53" s="10">
        <f t="shared" si="3"/>
        <v>4.6153846153846149E-2</v>
      </c>
      <c r="Q53" s="10">
        <f t="shared" si="4"/>
        <v>809.85384615384612</v>
      </c>
      <c r="R53" s="10">
        <f t="shared" si="5"/>
        <v>1.6456923076923078</v>
      </c>
      <c r="S53" s="10">
        <f t="shared" si="6"/>
        <v>3.4210526315789473</v>
      </c>
      <c r="T53" s="10">
        <f t="shared" si="7"/>
        <v>307.74446153846156</v>
      </c>
      <c r="U53" s="8">
        <v>45328</v>
      </c>
      <c r="V53" s="7" t="s">
        <v>24</v>
      </c>
      <c r="W53" s="7" t="s">
        <v>86</v>
      </c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35">
      <c r="A54" s="7"/>
      <c r="B54" s="7" t="s">
        <v>141</v>
      </c>
      <c r="C54" s="7" t="s">
        <v>26</v>
      </c>
      <c r="D54" s="7">
        <v>50242551</v>
      </c>
      <c r="E54" s="8">
        <v>20606</v>
      </c>
      <c r="F54" s="9">
        <f>DATEDIF(E54, U54, "Y")</f>
        <v>67</v>
      </c>
      <c r="G54" s="8">
        <v>45316</v>
      </c>
      <c r="H54" s="7">
        <v>257</v>
      </c>
      <c r="I54" s="7">
        <v>3.3</v>
      </c>
      <c r="J54" s="7">
        <v>0.1</v>
      </c>
      <c r="K54" s="7">
        <v>0.27</v>
      </c>
      <c r="L54" s="7">
        <v>3.11</v>
      </c>
      <c r="M54" s="10">
        <f t="shared" si="0"/>
        <v>1.0610932475884245</v>
      </c>
      <c r="N54" s="10">
        <f t="shared" si="1"/>
        <v>82.636655948553056</v>
      </c>
      <c r="O54" s="10">
        <f t="shared" si="2"/>
        <v>8.6816720257234734E-2</v>
      </c>
      <c r="P54" s="10">
        <f t="shared" si="3"/>
        <v>3.2154340836012867E-2</v>
      </c>
      <c r="Q54" s="10">
        <f t="shared" si="4"/>
        <v>272.70096463022509</v>
      </c>
      <c r="R54" s="10">
        <f t="shared" si="5"/>
        <v>0.2864951768488746</v>
      </c>
      <c r="S54" s="10">
        <f t="shared" si="6"/>
        <v>11.518518518518517</v>
      </c>
      <c r="T54" s="10">
        <f t="shared" si="7"/>
        <v>73.629260450160771</v>
      </c>
      <c r="U54" s="8">
        <v>45328</v>
      </c>
      <c r="V54" s="7" t="s">
        <v>35</v>
      </c>
      <c r="W54" s="7" t="s">
        <v>86</v>
      </c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35">
      <c r="A55" s="7"/>
      <c r="B55" s="7" t="s">
        <v>142</v>
      </c>
      <c r="C55" s="7" t="s">
        <v>143</v>
      </c>
      <c r="D55" s="7">
        <v>27660000</v>
      </c>
      <c r="E55" s="8">
        <v>33543</v>
      </c>
      <c r="F55" s="9">
        <f>DATEDIF(E55, U55, "Y")</f>
        <v>32</v>
      </c>
      <c r="G55" s="8">
        <v>45267</v>
      </c>
      <c r="H55" s="7">
        <v>355</v>
      </c>
      <c r="I55" s="7">
        <v>6.74</v>
      </c>
      <c r="J55" s="7">
        <v>0.04</v>
      </c>
      <c r="K55" s="7">
        <v>0.42</v>
      </c>
      <c r="L55" s="7">
        <v>2.33</v>
      </c>
      <c r="M55" s="10">
        <f t="shared" si="0"/>
        <v>2.892703862660944</v>
      </c>
      <c r="N55" s="10">
        <f t="shared" si="1"/>
        <v>152.36051502145924</v>
      </c>
      <c r="O55" s="10">
        <f t="shared" si="2"/>
        <v>0.18025751072961371</v>
      </c>
      <c r="P55" s="10">
        <f t="shared" si="3"/>
        <v>1.7167381974248927E-2</v>
      </c>
      <c r="Q55" s="10">
        <f t="shared" si="4"/>
        <v>1026.9098712446353</v>
      </c>
      <c r="R55" s="10">
        <f t="shared" si="5"/>
        <v>1.2149356223175964</v>
      </c>
      <c r="S55" s="10">
        <f t="shared" si="6"/>
        <v>5.5476190476190483</v>
      </c>
      <c r="T55" s="10">
        <f t="shared" si="7"/>
        <v>431.30214592274677</v>
      </c>
      <c r="U55" s="8">
        <v>45329</v>
      </c>
      <c r="V55" s="7" t="s">
        <v>30</v>
      </c>
      <c r="W55" s="7" t="s">
        <v>86</v>
      </c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35">
      <c r="A56" s="7"/>
      <c r="B56" s="7" t="s">
        <v>144</v>
      </c>
      <c r="C56" s="7" t="s">
        <v>103</v>
      </c>
      <c r="D56" s="7">
        <v>50698943</v>
      </c>
      <c r="E56" s="8">
        <v>32907</v>
      </c>
      <c r="F56" s="9">
        <f>DATEDIF(E56, U56, "Y")</f>
        <v>34</v>
      </c>
      <c r="G56" s="8">
        <v>45330</v>
      </c>
      <c r="H56" s="7">
        <v>117</v>
      </c>
      <c r="I56" s="7">
        <v>2.44</v>
      </c>
      <c r="J56" s="7">
        <v>0.16</v>
      </c>
      <c r="K56" s="7">
        <v>0.22</v>
      </c>
      <c r="L56" s="7">
        <v>1.17</v>
      </c>
      <c r="M56" s="10">
        <f t="shared" si="0"/>
        <v>2.0854700854700856</v>
      </c>
      <c r="N56" s="10">
        <f t="shared" si="1"/>
        <v>100</v>
      </c>
      <c r="O56" s="10">
        <f t="shared" si="2"/>
        <v>0.18803418803418806</v>
      </c>
      <c r="P56" s="10">
        <f t="shared" si="3"/>
        <v>0.13675213675213677</v>
      </c>
      <c r="Q56" s="10">
        <f t="shared" si="4"/>
        <v>244.00000000000003</v>
      </c>
      <c r="R56" s="10">
        <f t="shared" si="5"/>
        <v>0.45880341880341879</v>
      </c>
      <c r="S56" s="10">
        <f t="shared" si="6"/>
        <v>5.3181818181818175</v>
      </c>
      <c r="T56" s="10">
        <f t="shared" si="7"/>
        <v>53.679999999999993</v>
      </c>
      <c r="U56" s="8">
        <v>45330</v>
      </c>
      <c r="V56" s="7" t="s">
        <v>30</v>
      </c>
      <c r="W56" s="7" t="s">
        <v>75</v>
      </c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35">
      <c r="A57" s="7"/>
      <c r="B57" s="7" t="s">
        <v>145</v>
      </c>
      <c r="C57" s="7" t="s">
        <v>146</v>
      </c>
      <c r="D57" s="7">
        <v>36679785</v>
      </c>
      <c r="E57" s="8">
        <v>32907</v>
      </c>
      <c r="F57" s="9">
        <f>DATEDIF(E57, U57, "Y")</f>
        <v>34</v>
      </c>
      <c r="G57" s="8">
        <v>45330</v>
      </c>
      <c r="H57" s="7">
        <v>348</v>
      </c>
      <c r="I57" s="7">
        <v>5.72</v>
      </c>
      <c r="J57" s="7">
        <v>0.12</v>
      </c>
      <c r="K57" s="7">
        <v>0.56999999999999995</v>
      </c>
      <c r="L57" s="7">
        <v>2.54</v>
      </c>
      <c r="M57" s="10">
        <f t="shared" si="0"/>
        <v>2.2519685039370079</v>
      </c>
      <c r="N57" s="10">
        <f t="shared" si="1"/>
        <v>137.00787401574803</v>
      </c>
      <c r="O57" s="10">
        <f t="shared" si="2"/>
        <v>0.22440944881889763</v>
      </c>
      <c r="P57" s="10">
        <f t="shared" si="3"/>
        <v>4.7244094488188976E-2</v>
      </c>
      <c r="Q57" s="10">
        <f t="shared" si="4"/>
        <v>783.6850393700787</v>
      </c>
      <c r="R57" s="10">
        <f t="shared" si="5"/>
        <v>1.2836220472440945</v>
      </c>
      <c r="S57" s="10">
        <f t="shared" si="6"/>
        <v>4.4561403508771935</v>
      </c>
      <c r="T57" s="10">
        <f t="shared" si="7"/>
        <v>446.70047244094485</v>
      </c>
      <c r="U57" s="8">
        <v>45331</v>
      </c>
      <c r="V57" s="7" t="s">
        <v>30</v>
      </c>
      <c r="W57" s="7" t="s">
        <v>75</v>
      </c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35">
      <c r="A58" s="7"/>
      <c r="B58" s="7" t="s">
        <v>147</v>
      </c>
      <c r="C58" s="7" t="s">
        <v>34</v>
      </c>
      <c r="D58" s="7">
        <v>41906223</v>
      </c>
      <c r="E58" s="8">
        <v>27422</v>
      </c>
      <c r="F58" s="9">
        <f>DATEDIF(E58, U58, "Y")</f>
        <v>49</v>
      </c>
      <c r="G58" s="8">
        <v>45331</v>
      </c>
      <c r="H58" s="7">
        <v>297</v>
      </c>
      <c r="I58" s="7">
        <v>4.21</v>
      </c>
      <c r="J58" s="7">
        <v>0.16</v>
      </c>
      <c r="K58" s="7">
        <v>0.38</v>
      </c>
      <c r="L58" s="7">
        <v>1.4</v>
      </c>
      <c r="M58" s="10">
        <f t="shared" si="0"/>
        <v>3.0071428571428571</v>
      </c>
      <c r="N58" s="10">
        <f t="shared" si="1"/>
        <v>212.14285714285717</v>
      </c>
      <c r="O58" s="10">
        <f t="shared" si="2"/>
        <v>0.27142857142857146</v>
      </c>
      <c r="P58" s="10">
        <f t="shared" si="3"/>
        <v>0.1142857142857143</v>
      </c>
      <c r="Q58" s="10">
        <f t="shared" si="4"/>
        <v>893.12142857142851</v>
      </c>
      <c r="R58" s="10">
        <f t="shared" si="5"/>
        <v>1.1427142857142858</v>
      </c>
      <c r="S58" s="10">
        <f t="shared" si="6"/>
        <v>3.6842105263157894</v>
      </c>
      <c r="T58" s="10">
        <f t="shared" si="7"/>
        <v>339.38614285714289</v>
      </c>
      <c r="U58" s="8">
        <v>45331</v>
      </c>
      <c r="V58" s="7" t="s">
        <v>25</v>
      </c>
      <c r="W58" s="7" t="s">
        <v>86</v>
      </c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35">
      <c r="A59" s="7"/>
      <c r="B59" s="7" t="s">
        <v>148</v>
      </c>
      <c r="C59" s="7" t="s">
        <v>33</v>
      </c>
      <c r="D59" s="7">
        <v>42870394</v>
      </c>
      <c r="E59" s="8">
        <v>29616</v>
      </c>
      <c r="F59" s="9">
        <f>DATEDIF(E59, U59, "Y")</f>
        <v>43</v>
      </c>
      <c r="G59" s="8">
        <v>45332</v>
      </c>
      <c r="H59" s="7">
        <v>395</v>
      </c>
      <c r="I59" s="7">
        <v>2.39</v>
      </c>
      <c r="J59" s="7">
        <v>0.21</v>
      </c>
      <c r="K59" s="7">
        <v>0.51</v>
      </c>
      <c r="L59" s="7">
        <v>2.37</v>
      </c>
      <c r="M59" s="10">
        <f t="shared" si="0"/>
        <v>1.0084388185654007</v>
      </c>
      <c r="N59" s="10">
        <f t="shared" si="1"/>
        <v>166.66666666666666</v>
      </c>
      <c r="O59" s="10">
        <f t="shared" si="2"/>
        <v>0.2151898734177215</v>
      </c>
      <c r="P59" s="10">
        <f t="shared" si="3"/>
        <v>8.8607594936708847E-2</v>
      </c>
      <c r="Q59" s="10">
        <f t="shared" si="4"/>
        <v>398.33333333333337</v>
      </c>
      <c r="R59" s="10">
        <f t="shared" si="5"/>
        <v>0.51430379746835442</v>
      </c>
      <c r="S59" s="10">
        <f t="shared" si="6"/>
        <v>4.6470588235294121</v>
      </c>
      <c r="T59" s="10">
        <f t="shared" si="7"/>
        <v>203.15</v>
      </c>
      <c r="U59" s="8">
        <v>45332</v>
      </c>
      <c r="V59" s="7" t="s">
        <v>30</v>
      </c>
      <c r="W59" s="7" t="s">
        <v>107</v>
      </c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35">
      <c r="A60" s="7"/>
      <c r="B60" s="7" t="s">
        <v>149</v>
      </c>
      <c r="C60" s="7" t="s">
        <v>150</v>
      </c>
      <c r="D60" s="7">
        <v>47584586</v>
      </c>
      <c r="E60" s="8">
        <v>32942</v>
      </c>
      <c r="F60" s="9">
        <f>DATEDIF(E60, U60, "Y")</f>
        <v>33</v>
      </c>
      <c r="G60" s="8">
        <v>45307</v>
      </c>
      <c r="H60" s="7">
        <v>341</v>
      </c>
      <c r="I60" s="7">
        <v>4.93</v>
      </c>
      <c r="J60" s="7">
        <v>0.08</v>
      </c>
      <c r="K60" s="7">
        <v>0.54</v>
      </c>
      <c r="L60" s="7">
        <v>2.88</v>
      </c>
      <c r="M60" s="10">
        <f t="shared" si="0"/>
        <v>1.7118055555555556</v>
      </c>
      <c r="N60" s="10">
        <f t="shared" si="1"/>
        <v>118.40277777777779</v>
      </c>
      <c r="O60" s="10">
        <f t="shared" si="2"/>
        <v>0.18750000000000003</v>
      </c>
      <c r="P60" s="10">
        <f t="shared" si="3"/>
        <v>2.777777777777778E-2</v>
      </c>
      <c r="Q60" s="10">
        <f t="shared" si="4"/>
        <v>583.72569444444446</v>
      </c>
      <c r="R60" s="10">
        <f t="shared" si="5"/>
        <v>0.92437499999999995</v>
      </c>
      <c r="S60" s="10">
        <f t="shared" si="6"/>
        <v>5.333333333333333</v>
      </c>
      <c r="T60" s="10">
        <f t="shared" si="7"/>
        <v>315.21187500000002</v>
      </c>
      <c r="U60" s="8">
        <v>45332</v>
      </c>
      <c r="V60" s="7" t="s">
        <v>30</v>
      </c>
      <c r="W60" s="7" t="s">
        <v>86</v>
      </c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35">
      <c r="A61" s="7"/>
      <c r="B61" s="7" t="s">
        <v>151</v>
      </c>
      <c r="C61" s="7" t="s">
        <v>37</v>
      </c>
      <c r="D61" s="7">
        <v>47472089</v>
      </c>
      <c r="E61" s="8">
        <v>34092</v>
      </c>
      <c r="F61" s="9">
        <f>DATEDIF(E61, U61, "Y")</f>
        <v>30</v>
      </c>
      <c r="G61" s="8">
        <v>45266</v>
      </c>
      <c r="H61" s="7">
        <v>169</v>
      </c>
      <c r="I61" s="7">
        <v>5.08</v>
      </c>
      <c r="J61" s="7">
        <v>0.05</v>
      </c>
      <c r="K61" s="7">
        <v>0.22</v>
      </c>
      <c r="L61" s="7">
        <v>0.95</v>
      </c>
      <c r="M61" s="10">
        <f t="shared" si="0"/>
        <v>5.3473684210526322</v>
      </c>
      <c r="N61" s="10">
        <f t="shared" si="1"/>
        <v>177.89473684210526</v>
      </c>
      <c r="O61" s="10">
        <f t="shared" si="2"/>
        <v>0.23157894736842105</v>
      </c>
      <c r="P61" s="10">
        <f t="shared" si="3"/>
        <v>5.2631578947368425E-2</v>
      </c>
      <c r="Q61" s="10">
        <f t="shared" si="4"/>
        <v>903.70526315789471</v>
      </c>
      <c r="R61" s="10">
        <f t="shared" si="5"/>
        <v>1.176421052631579</v>
      </c>
      <c r="S61" s="10">
        <f t="shared" si="6"/>
        <v>4.3181818181818183</v>
      </c>
      <c r="T61" s="10">
        <f t="shared" si="7"/>
        <v>198.81515789473684</v>
      </c>
      <c r="U61" s="8">
        <v>45332</v>
      </c>
      <c r="V61" s="7" t="s">
        <v>30</v>
      </c>
      <c r="W61" s="7" t="s">
        <v>75</v>
      </c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35">
      <c r="A62" s="7"/>
      <c r="B62" s="7" t="s">
        <v>152</v>
      </c>
      <c r="C62" s="7" t="s">
        <v>42</v>
      </c>
      <c r="D62" s="7">
        <v>50679299</v>
      </c>
      <c r="E62" s="8">
        <v>27078</v>
      </c>
      <c r="F62" s="9">
        <f>DATEDIF(E62, U62, "Y")</f>
        <v>49</v>
      </c>
      <c r="G62" s="8">
        <v>45317</v>
      </c>
      <c r="H62" s="7">
        <v>206</v>
      </c>
      <c r="I62" s="7">
        <v>3.45</v>
      </c>
      <c r="J62" s="7">
        <v>0.14000000000000001</v>
      </c>
      <c r="K62" s="7">
        <v>0.39</v>
      </c>
      <c r="L62" s="7">
        <v>1.78</v>
      </c>
      <c r="M62" s="10">
        <f t="shared" si="0"/>
        <v>1.9382022471910112</v>
      </c>
      <c r="N62" s="10">
        <f t="shared" si="1"/>
        <v>115.73033707865169</v>
      </c>
      <c r="O62" s="10">
        <f t="shared" si="2"/>
        <v>0.21910112359550563</v>
      </c>
      <c r="P62" s="10">
        <f t="shared" si="3"/>
        <v>7.8651685393258439E-2</v>
      </c>
      <c r="Q62" s="10">
        <f t="shared" si="4"/>
        <v>399.26966292134836</v>
      </c>
      <c r="R62" s="10">
        <f t="shared" si="5"/>
        <v>0.75589887640449449</v>
      </c>
      <c r="S62" s="10">
        <f t="shared" si="6"/>
        <v>4.5641025641025639</v>
      </c>
      <c r="T62" s="10">
        <f t="shared" si="7"/>
        <v>155.71516853932584</v>
      </c>
      <c r="U62" s="8">
        <v>45332</v>
      </c>
      <c r="V62" s="7" t="s">
        <v>25</v>
      </c>
      <c r="W62" s="7" t="s">
        <v>68</v>
      </c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35">
      <c r="A63" s="7"/>
      <c r="B63" s="7" t="s">
        <v>153</v>
      </c>
      <c r="C63" s="7" t="s">
        <v>154</v>
      </c>
      <c r="D63" s="7">
        <v>3972916</v>
      </c>
      <c r="E63" s="8">
        <v>23622</v>
      </c>
      <c r="F63" s="9">
        <f>DATEDIF(E63, U63, "Y")</f>
        <v>59</v>
      </c>
      <c r="G63" s="11">
        <v>45279</v>
      </c>
      <c r="H63" s="7">
        <v>450</v>
      </c>
      <c r="I63" s="7">
        <v>4.46</v>
      </c>
      <c r="J63" s="7">
        <v>0.16</v>
      </c>
      <c r="K63" s="7">
        <v>0.47</v>
      </c>
      <c r="L63" s="7">
        <v>1.49</v>
      </c>
      <c r="M63" s="10">
        <f t="shared" si="0"/>
        <v>2.9932885906040267</v>
      </c>
      <c r="N63" s="10">
        <f t="shared" si="1"/>
        <v>302.01342281879192</v>
      </c>
      <c r="O63" s="10">
        <f t="shared" si="2"/>
        <v>0.31543624161073824</v>
      </c>
      <c r="P63" s="10">
        <f t="shared" si="3"/>
        <v>0.10738255033557047</v>
      </c>
      <c r="Q63" s="10">
        <f t="shared" si="4"/>
        <v>1346.979865771812</v>
      </c>
      <c r="R63" s="10">
        <f t="shared" si="5"/>
        <v>1.4068456375838927</v>
      </c>
      <c r="S63" s="10">
        <f t="shared" si="6"/>
        <v>3.1702127659574471</v>
      </c>
      <c r="T63" s="10">
        <f t="shared" si="7"/>
        <v>633.08053691275177</v>
      </c>
      <c r="U63" s="8">
        <v>45335</v>
      </c>
      <c r="V63" s="7" t="s">
        <v>24</v>
      </c>
      <c r="W63" s="7" t="s">
        <v>86</v>
      </c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35">
      <c r="A64" s="7"/>
      <c r="B64" s="7" t="s">
        <v>155</v>
      </c>
      <c r="C64" s="7" t="s">
        <v>156</v>
      </c>
      <c r="D64" s="7">
        <v>43516608</v>
      </c>
      <c r="E64" s="8">
        <v>26561</v>
      </c>
      <c r="F64" s="9">
        <f>DATEDIF(E64, U64, "Y")</f>
        <v>51</v>
      </c>
      <c r="G64" s="11">
        <v>45272</v>
      </c>
      <c r="H64" s="7">
        <v>227</v>
      </c>
      <c r="I64" s="7">
        <v>4.1100000000000003</v>
      </c>
      <c r="J64" s="7">
        <v>0.03</v>
      </c>
      <c r="K64" s="7">
        <v>0.35</v>
      </c>
      <c r="L64" s="7">
        <v>2.09</v>
      </c>
      <c r="M64" s="10">
        <f t="shared" si="0"/>
        <v>1.9665071770334932</v>
      </c>
      <c r="N64" s="10">
        <f t="shared" si="1"/>
        <v>108.61244019138756</v>
      </c>
      <c r="O64" s="10">
        <f t="shared" si="2"/>
        <v>0.1674641148325359</v>
      </c>
      <c r="P64" s="10">
        <f t="shared" si="3"/>
        <v>1.4354066985645933E-2</v>
      </c>
      <c r="Q64" s="10">
        <f t="shared" si="4"/>
        <v>446.39712918660291</v>
      </c>
      <c r="R64" s="10">
        <f t="shared" si="5"/>
        <v>0.6882775119617226</v>
      </c>
      <c r="S64" s="10">
        <f t="shared" si="6"/>
        <v>5.9714285714285715</v>
      </c>
      <c r="T64" s="10">
        <f t="shared" si="7"/>
        <v>156.23899521531104</v>
      </c>
      <c r="U64" s="8">
        <v>45339</v>
      </c>
      <c r="V64" s="7" t="s">
        <v>24</v>
      </c>
      <c r="W64" s="7" t="s">
        <v>86</v>
      </c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35">
      <c r="A65" s="7"/>
      <c r="B65" s="7" t="s">
        <v>157</v>
      </c>
      <c r="C65" s="7" t="s">
        <v>158</v>
      </c>
      <c r="D65" s="7">
        <v>50603737</v>
      </c>
      <c r="E65" s="11">
        <v>24797</v>
      </c>
      <c r="F65" s="9">
        <f>DATEDIF(E65, U65, "Y")</f>
        <v>56</v>
      </c>
      <c r="G65" s="8">
        <v>45266</v>
      </c>
      <c r="H65" s="7">
        <v>273</v>
      </c>
      <c r="I65" s="7">
        <v>3.63</v>
      </c>
      <c r="J65" s="7">
        <v>0.36</v>
      </c>
      <c r="K65" s="7">
        <v>0.47</v>
      </c>
      <c r="L65" s="7">
        <v>1.71</v>
      </c>
      <c r="M65" s="10">
        <f t="shared" si="0"/>
        <v>2.1228070175438596</v>
      </c>
      <c r="N65" s="10">
        <f t="shared" si="1"/>
        <v>159.64912280701753</v>
      </c>
      <c r="O65" s="10">
        <f t="shared" si="2"/>
        <v>0.27485380116959063</v>
      </c>
      <c r="P65" s="10">
        <f t="shared" si="3"/>
        <v>0.21052631578947367</v>
      </c>
      <c r="Q65" s="10">
        <f t="shared" si="4"/>
        <v>579.52631578947376</v>
      </c>
      <c r="R65" s="10">
        <f t="shared" si="5"/>
        <v>0.99771929824561401</v>
      </c>
      <c r="S65" s="10">
        <f t="shared" si="6"/>
        <v>3.6382978723404258</v>
      </c>
      <c r="T65" s="10">
        <f t="shared" si="7"/>
        <v>272.37736842105261</v>
      </c>
      <c r="U65" s="8">
        <v>45339</v>
      </c>
      <c r="V65" s="7" t="s">
        <v>24</v>
      </c>
      <c r="W65" s="7" t="s">
        <v>86</v>
      </c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35">
      <c r="A66" s="7"/>
      <c r="B66" s="7" t="s">
        <v>159</v>
      </c>
      <c r="C66" s="7" t="s">
        <v>160</v>
      </c>
      <c r="D66" s="7">
        <v>41794793</v>
      </c>
      <c r="E66" s="11">
        <v>31744</v>
      </c>
      <c r="F66" s="9">
        <f>DATEDIF(E66, U66, "Y")</f>
        <v>37</v>
      </c>
      <c r="G66" s="11">
        <v>45282</v>
      </c>
      <c r="H66" s="7">
        <v>272</v>
      </c>
      <c r="I66" s="7">
        <v>3.8</v>
      </c>
      <c r="J66" s="7">
        <v>0.09</v>
      </c>
      <c r="K66" s="7">
        <v>0.25</v>
      </c>
      <c r="L66" s="7">
        <v>1.3</v>
      </c>
      <c r="M66" s="10">
        <f t="shared" si="0"/>
        <v>2.9230769230769229</v>
      </c>
      <c r="N66" s="10">
        <f t="shared" si="1"/>
        <v>209.23076923076923</v>
      </c>
      <c r="O66" s="10">
        <f t="shared" si="2"/>
        <v>0.19230769230769229</v>
      </c>
      <c r="P66" s="10">
        <f t="shared" si="3"/>
        <v>6.9230769230769221E-2</v>
      </c>
      <c r="Q66" s="10">
        <f t="shared" si="4"/>
        <v>795.07692307692298</v>
      </c>
      <c r="R66" s="10">
        <f t="shared" si="5"/>
        <v>0.73076923076923073</v>
      </c>
      <c r="S66" s="10">
        <f t="shared" si="6"/>
        <v>5.2</v>
      </c>
      <c r="T66" s="10">
        <f t="shared" si="7"/>
        <v>198.76923076923075</v>
      </c>
      <c r="U66" s="8">
        <v>45341</v>
      </c>
      <c r="V66" s="7" t="s">
        <v>30</v>
      </c>
      <c r="W66" s="7" t="s">
        <v>86</v>
      </c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35">
      <c r="A67" s="7"/>
      <c r="B67" s="7" t="s">
        <v>161</v>
      </c>
      <c r="C67" s="7" t="s">
        <v>162</v>
      </c>
      <c r="D67" s="7">
        <v>3085271</v>
      </c>
      <c r="E67" s="8">
        <v>21262</v>
      </c>
      <c r="F67" s="9">
        <f>DATEDIF(E67, U67, "Y")</f>
        <v>65</v>
      </c>
      <c r="G67" s="8">
        <v>45330</v>
      </c>
      <c r="H67" s="7">
        <v>257</v>
      </c>
      <c r="I67" s="7">
        <v>5.37</v>
      </c>
      <c r="J67" s="7">
        <v>0.14000000000000001</v>
      </c>
      <c r="K67" s="7">
        <v>0.65</v>
      </c>
      <c r="L67" s="7">
        <v>3.8</v>
      </c>
      <c r="M67" s="10">
        <f t="shared" si="0"/>
        <v>1.4131578947368422</v>
      </c>
      <c r="N67" s="10">
        <f t="shared" si="1"/>
        <v>67.631578947368425</v>
      </c>
      <c r="O67" s="10">
        <f t="shared" si="2"/>
        <v>0.17105263157894737</v>
      </c>
      <c r="P67" s="10">
        <f t="shared" si="3"/>
        <v>3.6842105263157898E-2</v>
      </c>
      <c r="Q67" s="10">
        <f t="shared" si="4"/>
        <v>363.18157894736839</v>
      </c>
      <c r="R67" s="10">
        <f t="shared" si="5"/>
        <v>0.91855263157894751</v>
      </c>
      <c r="S67" s="10">
        <f t="shared" si="6"/>
        <v>5.8461538461538458</v>
      </c>
      <c r="T67" s="10">
        <f t="shared" si="7"/>
        <v>236.0680263157895</v>
      </c>
      <c r="U67" s="8">
        <v>45341</v>
      </c>
      <c r="V67" s="7" t="s">
        <v>163</v>
      </c>
      <c r="W67" s="7" t="s">
        <v>86</v>
      </c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35">
      <c r="A68" s="7"/>
      <c r="B68" s="7" t="s">
        <v>164</v>
      </c>
      <c r="C68" s="7" t="s">
        <v>39</v>
      </c>
      <c r="D68" s="7">
        <v>41328170</v>
      </c>
      <c r="E68" s="11">
        <v>31372</v>
      </c>
      <c r="F68" s="9">
        <f>DATEDIF(E68, U68, "Y")</f>
        <v>38</v>
      </c>
      <c r="G68" s="8">
        <v>45322</v>
      </c>
      <c r="H68" s="7">
        <v>288</v>
      </c>
      <c r="I68" s="7">
        <v>5.57</v>
      </c>
      <c r="J68" s="7">
        <v>0.1</v>
      </c>
      <c r="K68" s="7">
        <v>0.45</v>
      </c>
      <c r="L68" s="7">
        <v>1.2</v>
      </c>
      <c r="M68" s="10">
        <f t="shared" si="0"/>
        <v>4.6416666666666675</v>
      </c>
      <c r="N68" s="10">
        <f t="shared" si="1"/>
        <v>240</v>
      </c>
      <c r="O68" s="10">
        <f t="shared" si="2"/>
        <v>0.375</v>
      </c>
      <c r="P68" s="10">
        <f t="shared" si="3"/>
        <v>8.3333333333333343E-2</v>
      </c>
      <c r="Q68" s="10">
        <f t="shared" si="4"/>
        <v>1336.8000000000002</v>
      </c>
      <c r="R68" s="10">
        <f t="shared" si="5"/>
        <v>2.0887500000000006</v>
      </c>
      <c r="S68" s="10">
        <f t="shared" si="6"/>
        <v>2.6666666666666665</v>
      </c>
      <c r="T68" s="10">
        <f t="shared" si="7"/>
        <v>601.56000000000006</v>
      </c>
      <c r="U68" s="8">
        <v>45341</v>
      </c>
      <c r="V68" s="7" t="s">
        <v>30</v>
      </c>
      <c r="W68" s="7" t="s">
        <v>86</v>
      </c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35">
      <c r="A69" s="7"/>
      <c r="B69" s="7" t="s">
        <v>165</v>
      </c>
      <c r="C69" s="7" t="s">
        <v>166</v>
      </c>
      <c r="D69" s="7">
        <v>47320643</v>
      </c>
      <c r="E69" s="8">
        <v>28136</v>
      </c>
      <c r="F69" s="9">
        <f>DATEDIF(E69, U69, "Y")</f>
        <v>47</v>
      </c>
      <c r="G69" s="8">
        <v>45320</v>
      </c>
      <c r="H69" s="7">
        <v>306</v>
      </c>
      <c r="I69" s="7">
        <v>6.86</v>
      </c>
      <c r="J69" s="7">
        <v>0.1</v>
      </c>
      <c r="K69" s="7">
        <v>0.28999999999999998</v>
      </c>
      <c r="L69" s="7">
        <v>1.9</v>
      </c>
      <c r="M69" s="10">
        <f t="shared" si="0"/>
        <v>3.6105263157894738</v>
      </c>
      <c r="N69" s="10">
        <f t="shared" si="1"/>
        <v>161.05263157894737</v>
      </c>
      <c r="O69" s="10">
        <f t="shared" si="2"/>
        <v>0.15263157894736842</v>
      </c>
      <c r="P69" s="10">
        <f t="shared" si="3"/>
        <v>5.2631578947368425E-2</v>
      </c>
      <c r="Q69" s="10">
        <f t="shared" si="4"/>
        <v>1104.8210526315791</v>
      </c>
      <c r="R69" s="10">
        <f t="shared" si="5"/>
        <v>1.0470526315789475</v>
      </c>
      <c r="S69" s="10">
        <f t="shared" si="6"/>
        <v>6.5517241379310347</v>
      </c>
      <c r="T69" s="10">
        <f t="shared" si="7"/>
        <v>320.3981052631579</v>
      </c>
      <c r="U69" s="8">
        <v>45343</v>
      </c>
      <c r="V69" s="7" t="s">
        <v>24</v>
      </c>
      <c r="W69" s="7" t="s">
        <v>86</v>
      </c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35">
      <c r="A70" s="7"/>
      <c r="B70" s="7" t="s">
        <v>167</v>
      </c>
      <c r="C70" s="7" t="s">
        <v>43</v>
      </c>
      <c r="D70" s="7">
        <v>47088760</v>
      </c>
      <c r="E70" s="8">
        <v>30095</v>
      </c>
      <c r="F70" s="9">
        <f>DATEDIF(E70, U70, "Y")</f>
        <v>41</v>
      </c>
      <c r="G70" s="8">
        <v>45306</v>
      </c>
      <c r="H70" s="7">
        <v>303</v>
      </c>
      <c r="I70" s="7">
        <v>4.1900000000000004</v>
      </c>
      <c r="J70" s="7">
        <v>0.08</v>
      </c>
      <c r="K70" s="7">
        <v>0.31</v>
      </c>
      <c r="L70" s="7">
        <v>2.21</v>
      </c>
      <c r="M70" s="10">
        <f t="shared" si="0"/>
        <v>1.8959276018099549</v>
      </c>
      <c r="N70" s="10">
        <f t="shared" si="1"/>
        <v>137.10407239819006</v>
      </c>
      <c r="O70" s="10">
        <f t="shared" si="2"/>
        <v>0.14027149321266968</v>
      </c>
      <c r="P70" s="10">
        <f t="shared" si="3"/>
        <v>3.6199095022624438E-2</v>
      </c>
      <c r="Q70" s="10">
        <f t="shared" si="4"/>
        <v>574.46606334841636</v>
      </c>
      <c r="R70" s="10">
        <f t="shared" si="5"/>
        <v>0.58773755656108606</v>
      </c>
      <c r="S70" s="10">
        <f t="shared" si="6"/>
        <v>7.129032258064516</v>
      </c>
      <c r="T70" s="10">
        <f t="shared" si="7"/>
        <v>178.08447963800907</v>
      </c>
      <c r="U70" s="8">
        <v>45342</v>
      </c>
      <c r="V70" s="7" t="s">
        <v>30</v>
      </c>
      <c r="W70" s="7" t="s">
        <v>86</v>
      </c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35">
      <c r="A71" s="7"/>
      <c r="B71" s="7" t="s">
        <v>168</v>
      </c>
      <c r="C71" s="7" t="s">
        <v>169</v>
      </c>
      <c r="D71" s="7">
        <v>45253234</v>
      </c>
      <c r="E71" s="8">
        <v>27224</v>
      </c>
      <c r="F71" s="9">
        <f>DATEDIF(E71, U71, "Y")</f>
        <v>49</v>
      </c>
      <c r="G71" s="8">
        <v>45327</v>
      </c>
      <c r="H71" s="7">
        <v>380</v>
      </c>
      <c r="I71" s="7">
        <v>6.35</v>
      </c>
      <c r="J71" s="7">
        <v>0.12</v>
      </c>
      <c r="K71" s="7">
        <v>0.48</v>
      </c>
      <c r="L71" s="7">
        <v>1.72</v>
      </c>
      <c r="M71" s="10">
        <f t="shared" si="0"/>
        <v>3.691860465116279</v>
      </c>
      <c r="N71" s="10">
        <f t="shared" si="1"/>
        <v>220.93023255813955</v>
      </c>
      <c r="O71" s="10">
        <f t="shared" si="2"/>
        <v>0.27906976744186046</v>
      </c>
      <c r="P71" s="10">
        <f t="shared" si="3"/>
        <v>6.9767441860465115E-2</v>
      </c>
      <c r="Q71" s="10">
        <f t="shared" si="4"/>
        <v>1402.9069767441861</v>
      </c>
      <c r="R71" s="10">
        <f t="shared" si="5"/>
        <v>1.7720930232558136</v>
      </c>
      <c r="S71" s="10">
        <f t="shared" si="6"/>
        <v>3.5833333333333335</v>
      </c>
      <c r="T71" s="10">
        <f t="shared" si="7"/>
        <v>673.39534883720921</v>
      </c>
      <c r="U71" s="8">
        <v>45344</v>
      </c>
      <c r="V71" s="7" t="s">
        <v>24</v>
      </c>
      <c r="W71" s="7" t="s">
        <v>86</v>
      </c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35">
      <c r="A72" s="7"/>
      <c r="B72" s="7" t="s">
        <v>170</v>
      </c>
      <c r="C72" s="7" t="s">
        <v>32</v>
      </c>
      <c r="D72" s="7">
        <v>43046457</v>
      </c>
      <c r="E72" s="8">
        <v>27573</v>
      </c>
      <c r="F72" s="9">
        <f>DATEDIF(E72, U72, "Y")</f>
        <v>48</v>
      </c>
      <c r="G72" s="11">
        <v>45246</v>
      </c>
      <c r="H72" s="7">
        <v>329</v>
      </c>
      <c r="I72" s="7">
        <v>6.06</v>
      </c>
      <c r="J72" s="7">
        <v>0.03</v>
      </c>
      <c r="K72" s="7">
        <v>0.37</v>
      </c>
      <c r="L72" s="7">
        <v>0.96</v>
      </c>
      <c r="M72" s="10">
        <f t="shared" si="0"/>
        <v>6.3125</v>
      </c>
      <c r="N72" s="10">
        <f t="shared" si="1"/>
        <v>342.70833333333337</v>
      </c>
      <c r="O72" s="10">
        <f t="shared" si="2"/>
        <v>0.38541666666666669</v>
      </c>
      <c r="P72" s="10">
        <f t="shared" si="3"/>
        <v>3.125E-2</v>
      </c>
      <c r="Q72" s="10">
        <f t="shared" si="4"/>
        <v>2076.8125</v>
      </c>
      <c r="R72" s="10">
        <f t="shared" si="5"/>
        <v>2.3356249999999998</v>
      </c>
      <c r="S72" s="10">
        <f t="shared" si="6"/>
        <v>2.5945945945945947</v>
      </c>
      <c r="T72" s="10">
        <f t="shared" si="7"/>
        <v>768.42062500000009</v>
      </c>
      <c r="U72" s="8">
        <v>45345</v>
      </c>
      <c r="V72" s="7" t="s">
        <v>24</v>
      </c>
      <c r="W72" s="7" t="s">
        <v>86</v>
      </c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35">
      <c r="A73" s="7"/>
      <c r="B73" s="7" t="s">
        <v>171</v>
      </c>
      <c r="C73" s="7" t="s">
        <v>172</v>
      </c>
      <c r="D73" s="7">
        <v>29085602</v>
      </c>
      <c r="E73" s="8">
        <v>19600</v>
      </c>
      <c r="F73" s="9">
        <f>DATEDIF(E73, U73, "Y")</f>
        <v>70</v>
      </c>
      <c r="G73" s="8">
        <v>45327</v>
      </c>
      <c r="H73" s="7">
        <v>234</v>
      </c>
      <c r="I73" s="7">
        <v>4.78</v>
      </c>
      <c r="J73" s="7">
        <v>0.12</v>
      </c>
      <c r="K73" s="7">
        <v>0.45</v>
      </c>
      <c r="L73" s="7">
        <v>2.36</v>
      </c>
      <c r="M73" s="10">
        <f t="shared" si="0"/>
        <v>2.0254237288135597</v>
      </c>
      <c r="N73" s="10">
        <f t="shared" si="1"/>
        <v>99.152542372881356</v>
      </c>
      <c r="O73" s="10">
        <f t="shared" si="2"/>
        <v>0.19067796610169493</v>
      </c>
      <c r="P73" s="10">
        <f t="shared" si="3"/>
        <v>5.0847457627118647E-2</v>
      </c>
      <c r="Q73" s="10">
        <f t="shared" si="4"/>
        <v>473.94915254237287</v>
      </c>
      <c r="R73" s="10">
        <f t="shared" si="5"/>
        <v>0.91144067796610184</v>
      </c>
      <c r="S73" s="10">
        <f t="shared" si="6"/>
        <v>5.2444444444444445</v>
      </c>
      <c r="T73" s="10">
        <f t="shared" si="7"/>
        <v>213.27711864406783</v>
      </c>
      <c r="U73" s="8">
        <v>45346</v>
      </c>
      <c r="V73" s="7" t="s">
        <v>35</v>
      </c>
      <c r="W73" s="7" t="s">
        <v>86</v>
      </c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35">
      <c r="A74" s="7"/>
      <c r="B74" s="7" t="s">
        <v>173</v>
      </c>
      <c r="C74" s="7" t="s">
        <v>112</v>
      </c>
      <c r="D74" s="7">
        <v>47844329</v>
      </c>
      <c r="E74" s="8">
        <v>29894</v>
      </c>
      <c r="F74" s="9">
        <f>DATEDIF(E74, U74, "Y")</f>
        <v>42</v>
      </c>
      <c r="G74" s="11">
        <v>45288</v>
      </c>
      <c r="H74" s="7">
        <v>276</v>
      </c>
      <c r="I74" s="7">
        <v>2.2599999999999998</v>
      </c>
      <c r="J74" s="7">
        <v>7.0000000000000007E-2</v>
      </c>
      <c r="K74" s="7">
        <v>0.2</v>
      </c>
      <c r="L74" s="7">
        <v>2.11</v>
      </c>
      <c r="M74" s="10">
        <f t="shared" si="0"/>
        <v>1.0710900473933649</v>
      </c>
      <c r="N74" s="10">
        <f t="shared" si="1"/>
        <v>130.80568720379148</v>
      </c>
      <c r="O74" s="10">
        <f t="shared" si="2"/>
        <v>9.4786729857819912E-2</v>
      </c>
      <c r="P74" s="10">
        <f t="shared" si="3"/>
        <v>3.3175355450236969E-2</v>
      </c>
      <c r="Q74" s="10">
        <f t="shared" si="4"/>
        <v>295.62085308056874</v>
      </c>
      <c r="R74" s="10">
        <f t="shared" si="5"/>
        <v>0.21421800947867298</v>
      </c>
      <c r="S74" s="10">
        <f t="shared" si="6"/>
        <v>10.549999999999999</v>
      </c>
      <c r="T74" s="10">
        <f t="shared" si="7"/>
        <v>59.124170616113737</v>
      </c>
      <c r="U74" s="8">
        <v>45346</v>
      </c>
      <c r="V74" s="7" t="s">
        <v>30</v>
      </c>
      <c r="W74" s="7" t="s">
        <v>86</v>
      </c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35">
      <c r="A75" s="7"/>
      <c r="B75" s="7" t="s">
        <v>174</v>
      </c>
      <c r="C75" s="7" t="s">
        <v>130</v>
      </c>
      <c r="D75" s="7">
        <v>44257418</v>
      </c>
      <c r="E75" s="8">
        <v>26130</v>
      </c>
      <c r="F75" s="9">
        <f>DATEDIF(E75, U75, "Y")</f>
        <v>52</v>
      </c>
      <c r="G75" s="8">
        <v>45299</v>
      </c>
      <c r="H75" s="7">
        <v>240</v>
      </c>
      <c r="I75" s="7">
        <v>3.36</v>
      </c>
      <c r="J75" s="7">
        <v>0.1</v>
      </c>
      <c r="K75" s="7">
        <v>0.39</v>
      </c>
      <c r="L75" s="7">
        <v>1.54</v>
      </c>
      <c r="M75" s="10">
        <f t="shared" si="0"/>
        <v>2.1818181818181817</v>
      </c>
      <c r="N75" s="10">
        <f t="shared" si="1"/>
        <v>155.84415584415584</v>
      </c>
      <c r="O75" s="10">
        <f t="shared" si="2"/>
        <v>0.25324675324675328</v>
      </c>
      <c r="P75" s="10">
        <f t="shared" si="3"/>
        <v>6.4935064935064943E-2</v>
      </c>
      <c r="Q75" s="10">
        <f t="shared" si="4"/>
        <v>523.63636363636363</v>
      </c>
      <c r="R75" s="10">
        <f t="shared" si="5"/>
        <v>0.85090909090909095</v>
      </c>
      <c r="S75" s="10">
        <f t="shared" si="6"/>
        <v>3.9487179487179485</v>
      </c>
      <c r="T75" s="10">
        <f t="shared" si="7"/>
        <v>204.21818181818179</v>
      </c>
      <c r="U75" s="8">
        <v>45346</v>
      </c>
      <c r="V75" s="7" t="s">
        <v>24</v>
      </c>
      <c r="W75" s="7" t="s">
        <v>86</v>
      </c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35">
      <c r="A76" s="7"/>
      <c r="B76" s="7" t="s">
        <v>175</v>
      </c>
      <c r="C76" s="7" t="s">
        <v>176</v>
      </c>
      <c r="D76" s="7">
        <v>50828334</v>
      </c>
      <c r="E76" s="11">
        <v>24405</v>
      </c>
      <c r="F76" s="9">
        <f>DATEDIF(E76, U76, "Y")</f>
        <v>57</v>
      </c>
      <c r="G76" s="8">
        <v>45315</v>
      </c>
      <c r="H76" s="7">
        <v>285</v>
      </c>
      <c r="I76" s="7">
        <v>3.66</v>
      </c>
      <c r="J76" s="7">
        <v>0.1</v>
      </c>
      <c r="K76" s="7">
        <v>0.4</v>
      </c>
      <c r="L76" s="7">
        <v>2.89</v>
      </c>
      <c r="M76" s="10">
        <f t="shared" si="0"/>
        <v>1.2664359861591696</v>
      </c>
      <c r="N76" s="10">
        <f t="shared" si="1"/>
        <v>98.615916955017298</v>
      </c>
      <c r="O76" s="10">
        <f t="shared" si="2"/>
        <v>0.13840830449826991</v>
      </c>
      <c r="P76" s="10">
        <f t="shared" si="3"/>
        <v>3.4602076124567477E-2</v>
      </c>
      <c r="Q76" s="10">
        <f t="shared" si="4"/>
        <v>360.93425605536333</v>
      </c>
      <c r="R76" s="10">
        <f t="shared" si="5"/>
        <v>0.50657439446366781</v>
      </c>
      <c r="S76" s="10">
        <f t="shared" si="6"/>
        <v>7.2249999999999996</v>
      </c>
      <c r="T76" s="10">
        <f t="shared" si="7"/>
        <v>144.37370242214536</v>
      </c>
      <c r="U76" s="8">
        <v>45348</v>
      </c>
      <c r="V76" s="7" t="s">
        <v>35</v>
      </c>
      <c r="W76" s="7" t="s">
        <v>86</v>
      </c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35">
      <c r="A77" s="7"/>
      <c r="B77" s="7" t="s">
        <v>177</v>
      </c>
      <c r="C77" s="7" t="s">
        <v>178</v>
      </c>
      <c r="D77" s="7">
        <v>10968626</v>
      </c>
      <c r="E77" s="11">
        <v>31737</v>
      </c>
      <c r="F77" s="9">
        <f>DATEDIF(E77, U77, "Y")</f>
        <v>37</v>
      </c>
      <c r="G77" s="8">
        <v>45337</v>
      </c>
      <c r="H77" s="7">
        <v>415</v>
      </c>
      <c r="I77" s="7">
        <v>5.07</v>
      </c>
      <c r="J77" s="7">
        <v>0.1</v>
      </c>
      <c r="K77" s="7">
        <v>0.4</v>
      </c>
      <c r="L77" s="7">
        <v>1.24</v>
      </c>
      <c r="M77" s="10">
        <f t="shared" si="0"/>
        <v>4.088709677419355</v>
      </c>
      <c r="N77" s="10">
        <f t="shared" si="1"/>
        <v>334.67741935483872</v>
      </c>
      <c r="O77" s="10">
        <f t="shared" si="2"/>
        <v>0.32258064516129037</v>
      </c>
      <c r="P77" s="10">
        <f t="shared" si="3"/>
        <v>8.0645161290322592E-2</v>
      </c>
      <c r="Q77" s="10">
        <f t="shared" si="4"/>
        <v>1696.8145161290324</v>
      </c>
      <c r="R77" s="10">
        <f t="shared" si="5"/>
        <v>1.6354838709677419</v>
      </c>
      <c r="S77" s="10">
        <f t="shared" si="6"/>
        <v>3.0999999999999996</v>
      </c>
      <c r="T77" s="10">
        <f t="shared" si="7"/>
        <v>678.72580645161293</v>
      </c>
      <c r="U77" s="8">
        <v>45349</v>
      </c>
      <c r="V77" s="7" t="s">
        <v>30</v>
      </c>
      <c r="W77" s="7" t="s">
        <v>86</v>
      </c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35">
      <c r="A78" s="7"/>
      <c r="B78" s="7" t="s">
        <v>179</v>
      </c>
      <c r="C78" s="7" t="s">
        <v>23</v>
      </c>
      <c r="D78" s="7">
        <v>37685393</v>
      </c>
      <c r="E78" s="8">
        <v>28219</v>
      </c>
      <c r="F78" s="9">
        <f>DATEDIF(E78, U78, "Y")</f>
        <v>46</v>
      </c>
      <c r="G78" s="8">
        <v>45344</v>
      </c>
      <c r="H78" s="7">
        <v>224</v>
      </c>
      <c r="I78" s="7">
        <v>3.55</v>
      </c>
      <c r="J78" s="7">
        <v>0.02</v>
      </c>
      <c r="K78" s="7">
        <v>0.36</v>
      </c>
      <c r="L78" s="7">
        <v>1.81</v>
      </c>
      <c r="M78" s="10">
        <f t="shared" si="0"/>
        <v>1.9613259668508285</v>
      </c>
      <c r="N78" s="10">
        <f t="shared" si="1"/>
        <v>123.75690607734806</v>
      </c>
      <c r="O78" s="10">
        <f t="shared" si="2"/>
        <v>0.19889502762430938</v>
      </c>
      <c r="P78" s="10">
        <f t="shared" si="3"/>
        <v>1.1049723756906077E-2</v>
      </c>
      <c r="Q78" s="10">
        <f t="shared" si="4"/>
        <v>439.33701657458556</v>
      </c>
      <c r="R78" s="10">
        <f t="shared" si="5"/>
        <v>0.70607734806629818</v>
      </c>
      <c r="S78" s="10">
        <f t="shared" si="6"/>
        <v>5.0277777777777777</v>
      </c>
      <c r="T78" s="10">
        <f t="shared" si="7"/>
        <v>158.1613259668508</v>
      </c>
      <c r="U78" s="8">
        <v>45350</v>
      </c>
      <c r="V78" s="7" t="s">
        <v>25</v>
      </c>
      <c r="W78" s="7" t="s">
        <v>86</v>
      </c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35">
      <c r="A79" s="7"/>
      <c r="B79" s="7" t="s">
        <v>180</v>
      </c>
      <c r="C79" s="7" t="s">
        <v>181</v>
      </c>
      <c r="D79" s="7">
        <v>50688266</v>
      </c>
      <c r="E79" s="11">
        <v>31377</v>
      </c>
      <c r="F79" s="9">
        <f>DATEDIF(E79, U79, "Y")</f>
        <v>38</v>
      </c>
      <c r="G79" s="8">
        <v>45311</v>
      </c>
      <c r="H79" s="7">
        <v>342</v>
      </c>
      <c r="I79" s="7">
        <v>5.89</v>
      </c>
      <c r="J79" s="7">
        <v>0.13</v>
      </c>
      <c r="K79" s="7">
        <v>0.41</v>
      </c>
      <c r="L79" s="7">
        <v>2.5499999999999998</v>
      </c>
      <c r="M79" s="10">
        <f t="shared" si="0"/>
        <v>2.3098039215686277</v>
      </c>
      <c r="N79" s="10">
        <f t="shared" si="1"/>
        <v>134.11764705882354</v>
      </c>
      <c r="O79" s="10">
        <f t="shared" si="2"/>
        <v>0.16078431372549021</v>
      </c>
      <c r="P79" s="10">
        <f t="shared" si="3"/>
        <v>5.0980392156862751E-2</v>
      </c>
      <c r="Q79" s="10">
        <f t="shared" si="4"/>
        <v>789.95294117647063</v>
      </c>
      <c r="R79" s="10">
        <f t="shared" si="5"/>
        <v>0.94701960784313721</v>
      </c>
      <c r="S79" s="10">
        <f t="shared" si="6"/>
        <v>6.2195121951219514</v>
      </c>
      <c r="T79" s="10">
        <f t="shared" si="7"/>
        <v>323.88070588235291</v>
      </c>
      <c r="U79" s="8">
        <v>45350</v>
      </c>
      <c r="V79" s="7" t="s">
        <v>30</v>
      </c>
      <c r="W79" s="7" t="s">
        <v>86</v>
      </c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35">
      <c r="A80" s="7"/>
      <c r="B80" s="7" t="s">
        <v>182</v>
      </c>
      <c r="C80" s="7" t="s">
        <v>143</v>
      </c>
      <c r="D80" s="7">
        <v>50369685</v>
      </c>
      <c r="E80" s="8">
        <v>27900</v>
      </c>
      <c r="F80" s="9">
        <f>DATEDIF(E80, U80, "Y")</f>
        <v>47</v>
      </c>
      <c r="G80" s="8">
        <v>45300</v>
      </c>
      <c r="H80" s="7">
        <v>221</v>
      </c>
      <c r="I80" s="7">
        <v>2.58</v>
      </c>
      <c r="J80" s="7">
        <v>0.14000000000000001</v>
      </c>
      <c r="K80" s="7">
        <v>0.27</v>
      </c>
      <c r="L80" s="7">
        <v>1.94</v>
      </c>
      <c r="M80" s="10">
        <f t="shared" si="0"/>
        <v>1.329896907216495</v>
      </c>
      <c r="N80" s="10">
        <f t="shared" si="1"/>
        <v>113.91752577319588</v>
      </c>
      <c r="O80" s="10">
        <f t="shared" si="2"/>
        <v>0.13917525773195877</v>
      </c>
      <c r="P80" s="10">
        <f t="shared" si="3"/>
        <v>7.2164948453608255E-2</v>
      </c>
      <c r="Q80" s="10">
        <f t="shared" si="4"/>
        <v>293.90721649484539</v>
      </c>
      <c r="R80" s="10">
        <f t="shared" si="5"/>
        <v>0.35907216494845368</v>
      </c>
      <c r="S80" s="10">
        <f t="shared" si="6"/>
        <v>7.1851851851851842</v>
      </c>
      <c r="T80" s="10">
        <f t="shared" si="7"/>
        <v>79.354948453608259</v>
      </c>
      <c r="U80" s="8">
        <v>45352</v>
      </c>
      <c r="V80" s="7" t="s">
        <v>24</v>
      </c>
      <c r="W80" s="7" t="s">
        <v>86</v>
      </c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35">
      <c r="A81" s="7"/>
      <c r="B81" s="7" t="s">
        <v>183</v>
      </c>
      <c r="C81" s="7" t="s">
        <v>178</v>
      </c>
      <c r="D81" s="7">
        <v>50635952</v>
      </c>
      <c r="E81" s="8">
        <v>25391</v>
      </c>
      <c r="F81" s="9">
        <f>DATEDIF(E81, U81, "Y")</f>
        <v>54</v>
      </c>
      <c r="G81" s="8">
        <v>45321</v>
      </c>
      <c r="H81" s="7">
        <v>324</v>
      </c>
      <c r="I81" s="7">
        <v>4.12</v>
      </c>
      <c r="J81" s="7">
        <v>0.09</v>
      </c>
      <c r="K81" s="7">
        <v>0.31</v>
      </c>
      <c r="L81" s="7">
        <v>1.92</v>
      </c>
      <c r="M81" s="10">
        <f t="shared" si="0"/>
        <v>2.1458333333333335</v>
      </c>
      <c r="N81" s="10">
        <f t="shared" si="1"/>
        <v>168.75</v>
      </c>
      <c r="O81" s="10">
        <f t="shared" si="2"/>
        <v>0.16145833333333334</v>
      </c>
      <c r="P81" s="10">
        <f t="shared" si="3"/>
        <v>4.6875E-2</v>
      </c>
      <c r="Q81" s="10">
        <f t="shared" si="4"/>
        <v>695.25000000000011</v>
      </c>
      <c r="R81" s="10">
        <f t="shared" si="5"/>
        <v>0.6652083333333334</v>
      </c>
      <c r="S81" s="10">
        <f t="shared" si="6"/>
        <v>6.193548387096774</v>
      </c>
      <c r="T81" s="10">
        <f t="shared" si="7"/>
        <v>215.52750000000003</v>
      </c>
      <c r="U81" s="8">
        <v>45353</v>
      </c>
      <c r="V81" s="7" t="s">
        <v>24</v>
      </c>
      <c r="W81" s="7" t="s">
        <v>86</v>
      </c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35">
      <c r="A82" s="7"/>
      <c r="B82" s="7" t="s">
        <v>184</v>
      </c>
      <c r="C82" s="7" t="s">
        <v>49</v>
      </c>
      <c r="D82" s="7">
        <v>47529086</v>
      </c>
      <c r="E82" s="8">
        <v>28197</v>
      </c>
      <c r="F82" s="9">
        <f>DATEDIF(E82, U82, "Y")</f>
        <v>46</v>
      </c>
      <c r="G82" s="8">
        <v>45313</v>
      </c>
      <c r="H82" s="7">
        <v>294</v>
      </c>
      <c r="I82" s="7">
        <v>5.73</v>
      </c>
      <c r="J82" s="7">
        <v>0.21</v>
      </c>
      <c r="K82" s="7">
        <v>0.35</v>
      </c>
      <c r="L82" s="7">
        <v>1.18</v>
      </c>
      <c r="M82" s="10">
        <f t="shared" si="0"/>
        <v>4.8559322033898313</v>
      </c>
      <c r="N82" s="10">
        <f t="shared" si="1"/>
        <v>249.15254237288136</v>
      </c>
      <c r="O82" s="10">
        <f t="shared" si="2"/>
        <v>0.29661016949152541</v>
      </c>
      <c r="P82" s="10">
        <f t="shared" si="3"/>
        <v>0.17796610169491525</v>
      </c>
      <c r="Q82" s="10">
        <f t="shared" si="4"/>
        <v>1427.6440677966104</v>
      </c>
      <c r="R82" s="10">
        <f t="shared" si="5"/>
        <v>1.6995762711864408</v>
      </c>
      <c r="S82" s="10">
        <f t="shared" si="6"/>
        <v>3.3714285714285714</v>
      </c>
      <c r="T82" s="10">
        <f t="shared" si="7"/>
        <v>499.67542372881354</v>
      </c>
      <c r="U82" s="8">
        <v>45352</v>
      </c>
      <c r="V82" s="7" t="s">
        <v>25</v>
      </c>
      <c r="W82" s="7" t="s">
        <v>86</v>
      </c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35">
      <c r="A83" s="7"/>
      <c r="B83" s="7" t="s">
        <v>185</v>
      </c>
      <c r="C83" s="7" t="s">
        <v>186</v>
      </c>
      <c r="D83" s="7">
        <v>28493526</v>
      </c>
      <c r="E83" s="11">
        <v>31760</v>
      </c>
      <c r="F83" s="9">
        <f>DATEDIF(E83, U83, "Y")</f>
        <v>37</v>
      </c>
      <c r="G83" s="8">
        <v>45328</v>
      </c>
      <c r="H83" s="7">
        <v>175</v>
      </c>
      <c r="I83" s="7">
        <v>4.08</v>
      </c>
      <c r="J83" s="7">
        <v>0.11</v>
      </c>
      <c r="K83" s="7">
        <v>0.31</v>
      </c>
      <c r="L83" s="7">
        <v>1.89</v>
      </c>
      <c r="M83" s="10">
        <f t="shared" si="0"/>
        <v>2.1587301587301591</v>
      </c>
      <c r="N83" s="10">
        <f t="shared" si="1"/>
        <v>92.592592592592595</v>
      </c>
      <c r="O83" s="10">
        <f t="shared" si="2"/>
        <v>0.16402116402116404</v>
      </c>
      <c r="P83" s="10">
        <f t="shared" si="3"/>
        <v>5.8201058201058205E-2</v>
      </c>
      <c r="Q83" s="10">
        <f t="shared" si="4"/>
        <v>377.77777777777777</v>
      </c>
      <c r="R83" s="10">
        <f t="shared" si="5"/>
        <v>0.66920634920634925</v>
      </c>
      <c r="S83" s="10">
        <f t="shared" si="6"/>
        <v>6.096774193548387</v>
      </c>
      <c r="T83" s="10">
        <f t="shared" si="7"/>
        <v>117.1111111111111</v>
      </c>
      <c r="U83" s="8">
        <v>45355</v>
      </c>
      <c r="V83" s="7" t="s">
        <v>30</v>
      </c>
      <c r="W83" s="7" t="s">
        <v>86</v>
      </c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35">
      <c r="A84" s="7"/>
      <c r="B84" s="7" t="s">
        <v>187</v>
      </c>
      <c r="C84" s="7" t="s">
        <v>188</v>
      </c>
      <c r="D84" s="7">
        <v>50376797</v>
      </c>
      <c r="E84" s="8">
        <v>24298</v>
      </c>
      <c r="F84" s="9">
        <f>DATEDIF(E84, U84, "Y")</f>
        <v>57</v>
      </c>
      <c r="G84" s="8">
        <v>45338</v>
      </c>
      <c r="H84" s="7">
        <v>285</v>
      </c>
      <c r="I84" s="7">
        <v>3.67</v>
      </c>
      <c r="J84" s="7">
        <v>0.1</v>
      </c>
      <c r="K84" s="7">
        <v>0.18</v>
      </c>
      <c r="L84" s="7">
        <v>1.43</v>
      </c>
      <c r="M84" s="10">
        <f t="shared" si="0"/>
        <v>2.5664335664335667</v>
      </c>
      <c r="N84" s="10">
        <f t="shared" si="1"/>
        <v>199.30069930069931</v>
      </c>
      <c r="O84" s="10">
        <f t="shared" si="2"/>
        <v>0.12587412587412589</v>
      </c>
      <c r="P84" s="10">
        <f t="shared" si="3"/>
        <v>6.9930069930069935E-2</v>
      </c>
      <c r="Q84" s="10">
        <f t="shared" si="4"/>
        <v>731.43356643356651</v>
      </c>
      <c r="R84" s="10">
        <f t="shared" si="5"/>
        <v>0.46195804195804197</v>
      </c>
      <c r="S84" s="10">
        <f t="shared" si="6"/>
        <v>7.9444444444444446</v>
      </c>
      <c r="T84" s="10">
        <f t="shared" si="7"/>
        <v>131.65804195804196</v>
      </c>
      <c r="U84" s="8">
        <v>45357</v>
      </c>
      <c r="V84" s="7" t="s">
        <v>24</v>
      </c>
      <c r="W84" s="7" t="s">
        <v>86</v>
      </c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35">
      <c r="A85" s="7"/>
      <c r="B85" s="7" t="s">
        <v>189</v>
      </c>
      <c r="C85" s="7" t="s">
        <v>64</v>
      </c>
      <c r="D85" s="7">
        <v>47183280</v>
      </c>
      <c r="E85" s="8">
        <v>27482</v>
      </c>
      <c r="F85" s="9">
        <f>DATEDIF(E85, U85, "Y")</f>
        <v>48</v>
      </c>
      <c r="G85" s="8">
        <v>45295</v>
      </c>
      <c r="H85" s="7">
        <v>260</v>
      </c>
      <c r="I85" s="7">
        <v>3.78</v>
      </c>
      <c r="J85" s="7">
        <v>0.23</v>
      </c>
      <c r="K85" s="7">
        <v>0.38</v>
      </c>
      <c r="L85" s="7">
        <v>1.94</v>
      </c>
      <c r="M85" s="10">
        <f t="shared" si="0"/>
        <v>1.9484536082474226</v>
      </c>
      <c r="N85" s="10">
        <f t="shared" si="1"/>
        <v>134.02061855670104</v>
      </c>
      <c r="O85" s="10">
        <f t="shared" si="2"/>
        <v>0.19587628865979381</v>
      </c>
      <c r="P85" s="10">
        <f t="shared" si="3"/>
        <v>0.11855670103092784</v>
      </c>
      <c r="Q85" s="10">
        <f t="shared" si="4"/>
        <v>506.59793814432987</v>
      </c>
      <c r="R85" s="10">
        <f t="shared" si="5"/>
        <v>0.74041237113402059</v>
      </c>
      <c r="S85" s="10">
        <f t="shared" si="6"/>
        <v>5.1052631578947363</v>
      </c>
      <c r="T85" s="10">
        <f t="shared" si="7"/>
        <v>192.50721649484535</v>
      </c>
      <c r="U85" s="8">
        <v>45359</v>
      </c>
      <c r="V85" s="7" t="s">
        <v>24</v>
      </c>
      <c r="W85" s="7" t="s">
        <v>86</v>
      </c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35">
      <c r="A86" s="7"/>
      <c r="B86" s="7" t="s">
        <v>190</v>
      </c>
      <c r="C86" s="7" t="s">
        <v>191</v>
      </c>
      <c r="D86" s="7">
        <v>23643984</v>
      </c>
      <c r="E86" s="8">
        <v>27605</v>
      </c>
      <c r="F86" s="9">
        <f>DATEDIF(E86, U86, "Y")</f>
        <v>48</v>
      </c>
      <c r="G86" s="8">
        <v>45309</v>
      </c>
      <c r="H86" s="7">
        <v>318</v>
      </c>
      <c r="I86" s="7">
        <v>3.42</v>
      </c>
      <c r="J86" s="7">
        <v>0.03</v>
      </c>
      <c r="K86" s="7">
        <v>0.26</v>
      </c>
      <c r="L86" s="7">
        <v>1.2</v>
      </c>
      <c r="M86" s="10">
        <f t="shared" si="0"/>
        <v>2.85</v>
      </c>
      <c r="N86" s="10">
        <f t="shared" si="1"/>
        <v>265</v>
      </c>
      <c r="O86" s="10">
        <f t="shared" si="2"/>
        <v>0.21666666666666667</v>
      </c>
      <c r="P86" s="10">
        <f t="shared" si="3"/>
        <v>2.5000000000000001E-2</v>
      </c>
      <c r="Q86" s="10">
        <f t="shared" si="4"/>
        <v>906.3</v>
      </c>
      <c r="R86" s="10">
        <f t="shared" si="5"/>
        <v>0.74099999999999999</v>
      </c>
      <c r="S86" s="10">
        <f t="shared" si="6"/>
        <v>4.615384615384615</v>
      </c>
      <c r="T86" s="10">
        <f t="shared" si="7"/>
        <v>235.63800000000001</v>
      </c>
      <c r="U86" s="8">
        <v>45360</v>
      </c>
      <c r="V86" s="7" t="s">
        <v>30</v>
      </c>
      <c r="W86" s="7" t="s">
        <v>86</v>
      </c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35">
      <c r="A87" s="7"/>
      <c r="B87" s="7" t="s">
        <v>192</v>
      </c>
      <c r="C87" s="7" t="s">
        <v>193</v>
      </c>
      <c r="D87" s="7">
        <v>34889972</v>
      </c>
      <c r="E87" s="8">
        <v>28461</v>
      </c>
      <c r="F87" s="9">
        <f>DATEDIF(E87, U87, "Y")</f>
        <v>46</v>
      </c>
      <c r="G87" s="8">
        <v>45342</v>
      </c>
      <c r="H87" s="7">
        <v>198</v>
      </c>
      <c r="I87" s="7">
        <v>2.4</v>
      </c>
      <c r="J87" s="7">
        <v>0.04</v>
      </c>
      <c r="K87" s="7">
        <v>0.26</v>
      </c>
      <c r="L87" s="7">
        <v>1.28</v>
      </c>
      <c r="M87" s="10">
        <f t="shared" si="0"/>
        <v>1.875</v>
      </c>
      <c r="N87" s="10">
        <f t="shared" si="1"/>
        <v>154.6875</v>
      </c>
      <c r="O87" s="10">
        <f t="shared" si="2"/>
        <v>0.203125</v>
      </c>
      <c r="P87" s="10">
        <f t="shared" si="3"/>
        <v>3.125E-2</v>
      </c>
      <c r="Q87" s="10">
        <f t="shared" si="4"/>
        <v>371.25</v>
      </c>
      <c r="R87" s="10">
        <f t="shared" si="5"/>
        <v>0.48749999999999999</v>
      </c>
      <c r="S87" s="10">
        <f t="shared" si="6"/>
        <v>4.9230769230769234</v>
      </c>
      <c r="T87" s="10">
        <f t="shared" si="7"/>
        <v>96.525000000000006</v>
      </c>
      <c r="U87" s="8">
        <v>45360</v>
      </c>
      <c r="V87" s="7" t="s">
        <v>25</v>
      </c>
      <c r="W87" s="7" t="s">
        <v>68</v>
      </c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35">
      <c r="A88" s="7"/>
      <c r="B88" s="7" t="s">
        <v>194</v>
      </c>
      <c r="C88" s="7" t="s">
        <v>195</v>
      </c>
      <c r="D88" s="7">
        <v>47475090</v>
      </c>
      <c r="E88" s="8">
        <v>26215</v>
      </c>
      <c r="F88" s="9">
        <f>DATEDIF(E88, U88, "Y")</f>
        <v>52</v>
      </c>
      <c r="G88" s="8">
        <v>45314</v>
      </c>
      <c r="H88" s="7">
        <v>289</v>
      </c>
      <c r="I88" s="7">
        <v>5.67</v>
      </c>
      <c r="J88" s="7">
        <v>0.17</v>
      </c>
      <c r="K88" s="7">
        <v>0.62</v>
      </c>
      <c r="L88" s="7">
        <v>2.4900000000000002</v>
      </c>
      <c r="M88" s="10">
        <f t="shared" si="0"/>
        <v>2.2771084337349397</v>
      </c>
      <c r="N88" s="10">
        <f t="shared" si="1"/>
        <v>116.06425702811244</v>
      </c>
      <c r="O88" s="10">
        <f t="shared" si="2"/>
        <v>0.24899598393574296</v>
      </c>
      <c r="P88" s="10">
        <f t="shared" si="3"/>
        <v>6.8273092369477914E-2</v>
      </c>
      <c r="Q88" s="10">
        <f t="shared" si="4"/>
        <v>658.08433734939752</v>
      </c>
      <c r="R88" s="10">
        <f t="shared" si="5"/>
        <v>1.4118072289156625</v>
      </c>
      <c r="S88" s="10">
        <f t="shared" si="6"/>
        <v>4.0161290322580649</v>
      </c>
      <c r="T88" s="10">
        <f t="shared" si="7"/>
        <v>408.01228915662648</v>
      </c>
      <c r="U88" s="8">
        <v>45362</v>
      </c>
      <c r="V88" s="7" t="s">
        <v>24</v>
      </c>
      <c r="W88" s="7" t="s">
        <v>68</v>
      </c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35">
      <c r="A89" s="7"/>
      <c r="B89" s="7" t="s">
        <v>196</v>
      </c>
      <c r="C89" s="7" t="s">
        <v>197</v>
      </c>
      <c r="D89" s="7">
        <v>31136427</v>
      </c>
      <c r="E89" s="8">
        <v>28965</v>
      </c>
      <c r="F89" s="9">
        <f>DATEDIF(E89, U89, "Y")</f>
        <v>44</v>
      </c>
      <c r="G89" s="8">
        <v>45343</v>
      </c>
      <c r="H89" s="7">
        <v>338</v>
      </c>
      <c r="I89" s="7">
        <v>15.5</v>
      </c>
      <c r="J89" s="7">
        <v>0.18</v>
      </c>
      <c r="K89" s="7">
        <v>0.64</v>
      </c>
      <c r="L89" s="7">
        <v>3.52</v>
      </c>
      <c r="M89" s="10">
        <f t="shared" si="0"/>
        <v>4.4034090909090908</v>
      </c>
      <c r="N89" s="10">
        <f t="shared" si="1"/>
        <v>96.022727272727266</v>
      </c>
      <c r="O89" s="10">
        <f t="shared" si="2"/>
        <v>0.18181818181818182</v>
      </c>
      <c r="P89" s="10">
        <f t="shared" si="3"/>
        <v>5.1136363636363633E-2</v>
      </c>
      <c r="Q89" s="10">
        <f t="shared" si="4"/>
        <v>1488.3522727272727</v>
      </c>
      <c r="R89" s="10">
        <f t="shared" si="5"/>
        <v>2.8181818181818183</v>
      </c>
      <c r="S89" s="10">
        <f t="shared" si="6"/>
        <v>5.5</v>
      </c>
      <c r="T89" s="10">
        <f t="shared" si="7"/>
        <v>952.5454545454545</v>
      </c>
      <c r="U89" s="8">
        <v>45362</v>
      </c>
      <c r="V89" s="7" t="s">
        <v>30</v>
      </c>
      <c r="W89" s="7" t="s">
        <v>86</v>
      </c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35">
      <c r="A90" s="7"/>
      <c r="B90" s="7" t="s">
        <v>198</v>
      </c>
      <c r="C90" s="7" t="s">
        <v>26</v>
      </c>
      <c r="D90" s="7">
        <v>21491733</v>
      </c>
      <c r="E90" s="8">
        <v>26915</v>
      </c>
      <c r="F90" s="9">
        <f>DATEDIF(E90, U90, "Y")</f>
        <v>50</v>
      </c>
      <c r="G90" s="8">
        <v>45301</v>
      </c>
      <c r="H90" s="7">
        <v>261</v>
      </c>
      <c r="I90" s="7">
        <v>6.67</v>
      </c>
      <c r="J90" s="7">
        <v>0.04</v>
      </c>
      <c r="K90" s="7">
        <v>0.28000000000000003</v>
      </c>
      <c r="L90" s="7">
        <v>1.58</v>
      </c>
      <c r="M90" s="10">
        <f t="shared" si="0"/>
        <v>4.2215189873417716</v>
      </c>
      <c r="N90" s="10">
        <f t="shared" si="1"/>
        <v>165.18987341772151</v>
      </c>
      <c r="O90" s="10">
        <f t="shared" si="2"/>
        <v>0.17721518987341772</v>
      </c>
      <c r="P90" s="10">
        <f t="shared" si="3"/>
        <v>2.5316455696202531E-2</v>
      </c>
      <c r="Q90" s="10">
        <f t="shared" si="4"/>
        <v>1101.8164556962024</v>
      </c>
      <c r="R90" s="10">
        <f t="shared" si="5"/>
        <v>1.1820253164556962</v>
      </c>
      <c r="S90" s="10">
        <f t="shared" si="6"/>
        <v>5.6428571428571423</v>
      </c>
      <c r="T90" s="10">
        <f t="shared" si="7"/>
        <v>308.50860759493673</v>
      </c>
      <c r="U90" s="8">
        <v>45364</v>
      </c>
      <c r="V90" s="7" t="s">
        <v>24</v>
      </c>
      <c r="W90" s="7" t="s">
        <v>86</v>
      </c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35">
      <c r="A91" s="7"/>
      <c r="B91" s="7" t="s">
        <v>199</v>
      </c>
      <c r="C91" s="7" t="s">
        <v>200</v>
      </c>
      <c r="D91" s="7">
        <v>50917764</v>
      </c>
      <c r="E91" s="8">
        <v>31684</v>
      </c>
      <c r="F91" s="9">
        <f>DATEDIF(E91, U91, "Y")</f>
        <v>37</v>
      </c>
      <c r="G91" s="8">
        <v>45365</v>
      </c>
      <c r="H91" s="7">
        <v>258</v>
      </c>
      <c r="I91" s="7">
        <v>6.21</v>
      </c>
      <c r="J91" s="7">
        <v>0.13</v>
      </c>
      <c r="K91" s="7">
        <v>0.32</v>
      </c>
      <c r="L91" s="7">
        <v>2.23</v>
      </c>
      <c r="M91" s="10">
        <f t="shared" si="0"/>
        <v>2.7847533632286994</v>
      </c>
      <c r="N91" s="10">
        <f t="shared" si="1"/>
        <v>115.69506726457399</v>
      </c>
      <c r="O91" s="10">
        <f t="shared" si="2"/>
        <v>0.14349775784753363</v>
      </c>
      <c r="P91" s="10">
        <f t="shared" si="3"/>
        <v>5.829596412556054E-2</v>
      </c>
      <c r="Q91" s="10">
        <f t="shared" si="4"/>
        <v>718.4663677130045</v>
      </c>
      <c r="R91" s="10">
        <f t="shared" si="5"/>
        <v>0.89112107623318393</v>
      </c>
      <c r="S91" s="10">
        <f t="shared" si="6"/>
        <v>6.96875</v>
      </c>
      <c r="T91" s="10">
        <f t="shared" si="7"/>
        <v>229.90923766816141</v>
      </c>
      <c r="U91" s="8">
        <v>45365</v>
      </c>
      <c r="V91" s="7" t="s">
        <v>30</v>
      </c>
      <c r="W91" s="7" t="s">
        <v>86</v>
      </c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35">
      <c r="A92" s="7"/>
      <c r="B92" s="7" t="s">
        <v>201</v>
      </c>
      <c r="C92" s="7" t="s">
        <v>202</v>
      </c>
      <c r="D92" s="7">
        <v>50494616</v>
      </c>
      <c r="E92" s="11">
        <v>33560</v>
      </c>
      <c r="F92" s="9">
        <f>DATEDIF(E92, U92, "Y")</f>
        <v>32</v>
      </c>
      <c r="G92" s="8">
        <v>45335</v>
      </c>
      <c r="H92" s="7">
        <v>287</v>
      </c>
      <c r="I92" s="7">
        <v>3.53</v>
      </c>
      <c r="J92" s="7">
        <v>0.15</v>
      </c>
      <c r="K92" s="7">
        <v>0.33</v>
      </c>
      <c r="L92" s="7">
        <v>1.88</v>
      </c>
      <c r="M92" s="10">
        <f t="shared" si="0"/>
        <v>1.8776595744680851</v>
      </c>
      <c r="N92" s="10">
        <f t="shared" si="1"/>
        <v>152.65957446808511</v>
      </c>
      <c r="O92" s="10">
        <f t="shared" si="2"/>
        <v>0.17553191489361705</v>
      </c>
      <c r="P92" s="10">
        <f t="shared" si="3"/>
        <v>7.9787234042553196E-2</v>
      </c>
      <c r="Q92" s="10">
        <f t="shared" si="4"/>
        <v>538.88829787234044</v>
      </c>
      <c r="R92" s="10">
        <f t="shared" si="5"/>
        <v>0.61962765957446819</v>
      </c>
      <c r="S92" s="10">
        <f t="shared" si="6"/>
        <v>5.6969696969696964</v>
      </c>
      <c r="T92" s="10">
        <f t="shared" si="7"/>
        <v>177.83313829787235</v>
      </c>
      <c r="U92" s="8">
        <v>45364</v>
      </c>
      <c r="V92" s="7" t="s">
        <v>30</v>
      </c>
      <c r="W92" s="7" t="s">
        <v>86</v>
      </c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35">
      <c r="A93" s="7"/>
      <c r="B93" s="7" t="s">
        <v>203</v>
      </c>
      <c r="C93" s="7" t="s">
        <v>204</v>
      </c>
      <c r="D93" s="7">
        <v>37295474</v>
      </c>
      <c r="E93" s="8">
        <v>30263</v>
      </c>
      <c r="F93" s="9">
        <f>DATEDIF(E93, U93, "Y")</f>
        <v>41</v>
      </c>
      <c r="G93" s="8">
        <v>45301</v>
      </c>
      <c r="H93" s="7">
        <v>226</v>
      </c>
      <c r="I93" s="7">
        <v>4.4800000000000004</v>
      </c>
      <c r="J93" s="7">
        <v>0.01</v>
      </c>
      <c r="K93" s="7">
        <v>0.26</v>
      </c>
      <c r="L93" s="7">
        <v>1.25</v>
      </c>
      <c r="M93" s="10">
        <f t="shared" si="0"/>
        <v>3.5840000000000005</v>
      </c>
      <c r="N93" s="10">
        <f t="shared" si="1"/>
        <v>180.8</v>
      </c>
      <c r="O93" s="10">
        <f t="shared" si="2"/>
        <v>0.20800000000000002</v>
      </c>
      <c r="P93" s="10">
        <f t="shared" si="3"/>
        <v>8.0000000000000002E-3</v>
      </c>
      <c r="Q93" s="10">
        <f t="shared" si="4"/>
        <v>809.98400000000015</v>
      </c>
      <c r="R93" s="10">
        <f t="shared" si="5"/>
        <v>0.93184</v>
      </c>
      <c r="S93" s="10">
        <f t="shared" si="6"/>
        <v>4.8076923076923075</v>
      </c>
      <c r="T93" s="10">
        <f t="shared" si="7"/>
        <v>210.59584000000001</v>
      </c>
      <c r="U93" s="8">
        <v>45364</v>
      </c>
      <c r="V93" s="7" t="s">
        <v>30</v>
      </c>
      <c r="W93" s="7" t="s">
        <v>86</v>
      </c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35">
      <c r="A94" s="7"/>
      <c r="B94" s="7" t="s">
        <v>205</v>
      </c>
      <c r="C94" s="7" t="s">
        <v>48</v>
      </c>
      <c r="D94" s="7">
        <v>43817444</v>
      </c>
      <c r="E94" s="8">
        <v>30773</v>
      </c>
      <c r="F94" s="9">
        <f>DATEDIF(E94, U94, "Y")</f>
        <v>39</v>
      </c>
      <c r="G94" s="8">
        <v>45349</v>
      </c>
      <c r="H94" s="7">
        <v>174</v>
      </c>
      <c r="I94" s="7">
        <v>2.5</v>
      </c>
      <c r="J94" s="7">
        <v>0.04</v>
      </c>
      <c r="K94" s="7">
        <v>0.19</v>
      </c>
      <c r="L94" s="7">
        <v>1.57</v>
      </c>
      <c r="M94" s="10">
        <f t="shared" si="0"/>
        <v>1.592356687898089</v>
      </c>
      <c r="N94" s="10">
        <f t="shared" si="1"/>
        <v>110.828025477707</v>
      </c>
      <c r="O94" s="10">
        <f t="shared" si="2"/>
        <v>0.12101910828025478</v>
      </c>
      <c r="P94" s="10">
        <f t="shared" si="3"/>
        <v>2.5477707006369425E-2</v>
      </c>
      <c r="Q94" s="10">
        <f t="shared" si="4"/>
        <v>277.0700636942675</v>
      </c>
      <c r="R94" s="10">
        <f t="shared" si="5"/>
        <v>0.30254777070063693</v>
      </c>
      <c r="S94" s="10">
        <f t="shared" si="6"/>
        <v>8.2631578947368425</v>
      </c>
      <c r="T94" s="10">
        <f t="shared" si="7"/>
        <v>52.643312101910823</v>
      </c>
      <c r="U94" s="8">
        <v>45365</v>
      </c>
      <c r="V94" s="7" t="s">
        <v>30</v>
      </c>
      <c r="W94" s="7" t="s">
        <v>86</v>
      </c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35">
      <c r="A95" s="7"/>
      <c r="B95" s="7" t="s">
        <v>206</v>
      </c>
      <c r="C95" s="7" t="s">
        <v>207</v>
      </c>
      <c r="D95" s="7">
        <v>46661369</v>
      </c>
      <c r="E95" s="8">
        <v>33052</v>
      </c>
      <c r="F95" s="9">
        <f>DATEDIF(E95, U95, "Y")</f>
        <v>33</v>
      </c>
      <c r="G95" s="8">
        <v>45310</v>
      </c>
      <c r="H95" s="7">
        <v>213</v>
      </c>
      <c r="I95" s="7">
        <v>6.03</v>
      </c>
      <c r="J95" s="7">
        <v>0.06</v>
      </c>
      <c r="K95" s="7">
        <v>0.44</v>
      </c>
      <c r="L95" s="7">
        <v>2.65</v>
      </c>
      <c r="M95" s="10">
        <f t="shared" si="0"/>
        <v>2.2754716981132077</v>
      </c>
      <c r="N95" s="10">
        <f t="shared" si="1"/>
        <v>80.377358490566039</v>
      </c>
      <c r="O95" s="10">
        <f t="shared" si="2"/>
        <v>0.16603773584905662</v>
      </c>
      <c r="P95" s="10">
        <f t="shared" si="3"/>
        <v>2.2641509433962263E-2</v>
      </c>
      <c r="Q95" s="10">
        <f t="shared" si="4"/>
        <v>484.67547169811326</v>
      </c>
      <c r="R95" s="10">
        <f t="shared" si="5"/>
        <v>1.0012075471698114</v>
      </c>
      <c r="S95" s="10">
        <f t="shared" si="6"/>
        <v>6.0227272727272725</v>
      </c>
      <c r="T95" s="10">
        <f t="shared" si="7"/>
        <v>213.25720754716983</v>
      </c>
      <c r="U95" s="8">
        <v>45367</v>
      </c>
      <c r="V95" s="7" t="s">
        <v>30</v>
      </c>
      <c r="W95" s="7" t="s">
        <v>86</v>
      </c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35">
      <c r="A96" s="7"/>
      <c r="B96" s="7" t="s">
        <v>135</v>
      </c>
      <c r="C96" s="7" t="s">
        <v>208</v>
      </c>
      <c r="D96" s="7">
        <v>50911999</v>
      </c>
      <c r="E96" s="8">
        <v>17633</v>
      </c>
      <c r="F96" s="9">
        <f>DATEDIF(E96, U96, "Y")</f>
        <v>75</v>
      </c>
      <c r="G96" s="8">
        <v>45342</v>
      </c>
      <c r="H96" s="7">
        <v>175</v>
      </c>
      <c r="I96" s="7">
        <v>3.56</v>
      </c>
      <c r="J96" s="7">
        <v>0.13</v>
      </c>
      <c r="K96" s="7">
        <v>0.46</v>
      </c>
      <c r="L96" s="7">
        <v>2.08</v>
      </c>
      <c r="M96" s="10">
        <f t="shared" si="0"/>
        <v>1.7115384615384615</v>
      </c>
      <c r="N96" s="10">
        <f t="shared" si="1"/>
        <v>84.134615384615387</v>
      </c>
      <c r="O96" s="10">
        <f t="shared" si="2"/>
        <v>0.22115384615384615</v>
      </c>
      <c r="P96" s="10">
        <f t="shared" si="3"/>
        <v>6.25E-2</v>
      </c>
      <c r="Q96" s="10">
        <f t="shared" si="4"/>
        <v>299.51923076923077</v>
      </c>
      <c r="R96" s="10">
        <f t="shared" si="5"/>
        <v>0.78730769230769237</v>
      </c>
      <c r="S96" s="10">
        <f t="shared" si="6"/>
        <v>4.5217391304347823</v>
      </c>
      <c r="T96" s="10">
        <f t="shared" si="7"/>
        <v>137.77884615384616</v>
      </c>
      <c r="U96" s="8">
        <v>45369</v>
      </c>
      <c r="V96" s="7" t="s">
        <v>25</v>
      </c>
      <c r="W96" s="7" t="s">
        <v>86</v>
      </c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35">
      <c r="A97" s="7"/>
      <c r="B97" s="7" t="s">
        <v>209</v>
      </c>
      <c r="C97" s="7" t="s">
        <v>210</v>
      </c>
      <c r="D97" s="7">
        <v>46129565</v>
      </c>
      <c r="E97" s="8">
        <v>29070</v>
      </c>
      <c r="F97" s="9">
        <f>DATEDIF(E97, U97, "Y")</f>
        <v>44</v>
      </c>
      <c r="G97" s="8">
        <v>45302</v>
      </c>
      <c r="H97" s="7">
        <v>407</v>
      </c>
      <c r="I97" s="7">
        <v>7.13</v>
      </c>
      <c r="J97" s="7">
        <v>0.08</v>
      </c>
      <c r="K97" s="7">
        <v>0.56000000000000005</v>
      </c>
      <c r="L97" s="7">
        <v>1.65</v>
      </c>
      <c r="M97" s="10">
        <f t="shared" si="0"/>
        <v>4.3212121212121213</v>
      </c>
      <c r="N97" s="10">
        <f t="shared" si="1"/>
        <v>246.66666666666669</v>
      </c>
      <c r="O97" s="10">
        <f t="shared" si="2"/>
        <v>0.33939393939393947</v>
      </c>
      <c r="P97" s="10">
        <f t="shared" si="3"/>
        <v>4.8484848484848492E-2</v>
      </c>
      <c r="Q97" s="10">
        <f t="shared" si="4"/>
        <v>1758.7333333333333</v>
      </c>
      <c r="R97" s="10">
        <f t="shared" si="5"/>
        <v>2.4198787878787882</v>
      </c>
      <c r="S97" s="10">
        <f t="shared" si="6"/>
        <v>2.9464285714285712</v>
      </c>
      <c r="T97" s="10">
        <f t="shared" si="7"/>
        <v>984.89066666666679</v>
      </c>
      <c r="U97" s="8">
        <v>45369</v>
      </c>
      <c r="V97" s="7" t="s">
        <v>30</v>
      </c>
      <c r="W97" s="7" t="s">
        <v>86</v>
      </c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35">
      <c r="A98" s="7"/>
      <c r="B98" s="7" t="s">
        <v>211</v>
      </c>
      <c r="C98" s="7" t="s">
        <v>212</v>
      </c>
      <c r="D98" s="7">
        <v>24106080</v>
      </c>
      <c r="E98" s="8">
        <v>20627</v>
      </c>
      <c r="F98" s="9">
        <f>DATEDIF(E98, U98, "Y")</f>
        <v>67</v>
      </c>
      <c r="G98" s="8">
        <v>45322</v>
      </c>
      <c r="H98" s="7">
        <v>412</v>
      </c>
      <c r="I98" s="7">
        <v>2.69</v>
      </c>
      <c r="J98" s="7">
        <v>0.25</v>
      </c>
      <c r="K98" s="7">
        <v>0.5</v>
      </c>
      <c r="L98" s="7">
        <v>1.71</v>
      </c>
      <c r="M98" s="10">
        <f t="shared" si="0"/>
        <v>1.5730994152046784</v>
      </c>
      <c r="N98" s="10">
        <f t="shared" si="1"/>
        <v>240.93567251461988</v>
      </c>
      <c r="O98" s="10">
        <f t="shared" si="2"/>
        <v>0.29239766081871343</v>
      </c>
      <c r="P98" s="10">
        <f t="shared" si="3"/>
        <v>0.14619883040935672</v>
      </c>
      <c r="Q98" s="10">
        <f t="shared" si="4"/>
        <v>648.11695906432749</v>
      </c>
      <c r="R98" s="10">
        <f t="shared" si="5"/>
        <v>0.78654970760233922</v>
      </c>
      <c r="S98" s="10">
        <f t="shared" si="6"/>
        <v>3.42</v>
      </c>
      <c r="T98" s="10">
        <f t="shared" si="7"/>
        <v>324.05847953216374</v>
      </c>
      <c r="U98" s="8">
        <v>45370</v>
      </c>
      <c r="V98" s="7" t="s">
        <v>35</v>
      </c>
      <c r="W98" s="7" t="s">
        <v>86</v>
      </c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35">
      <c r="A99" s="7"/>
      <c r="B99" s="7" t="s">
        <v>213</v>
      </c>
      <c r="C99" s="7" t="s">
        <v>47</v>
      </c>
      <c r="D99" s="7">
        <v>50339787</v>
      </c>
      <c r="E99" s="8">
        <v>17984</v>
      </c>
      <c r="F99" s="9">
        <f>DATEDIF(E99, U99, "Y")</f>
        <v>74</v>
      </c>
      <c r="G99" s="8">
        <v>45336</v>
      </c>
      <c r="H99" s="7">
        <v>201</v>
      </c>
      <c r="I99" s="7">
        <v>2.23</v>
      </c>
      <c r="J99" s="7">
        <v>0.09</v>
      </c>
      <c r="K99" s="7">
        <v>0.35</v>
      </c>
      <c r="L99" s="7">
        <v>1.72</v>
      </c>
      <c r="M99" s="10">
        <f t="shared" si="0"/>
        <v>1.2965116279069768</v>
      </c>
      <c r="N99" s="10">
        <f t="shared" si="1"/>
        <v>116.86046511627907</v>
      </c>
      <c r="O99" s="10">
        <f t="shared" si="2"/>
        <v>0.20348837209302326</v>
      </c>
      <c r="P99" s="10">
        <f t="shared" si="3"/>
        <v>5.2325581395348833E-2</v>
      </c>
      <c r="Q99" s="10">
        <f t="shared" si="4"/>
        <v>260.59883720930236</v>
      </c>
      <c r="R99" s="10">
        <f t="shared" si="5"/>
        <v>0.45377906976744187</v>
      </c>
      <c r="S99" s="10">
        <f t="shared" si="6"/>
        <v>4.9142857142857146</v>
      </c>
      <c r="T99" s="10">
        <f t="shared" si="7"/>
        <v>91.209593023255806</v>
      </c>
      <c r="U99" s="8">
        <v>45373</v>
      </c>
      <c r="V99" s="7" t="s">
        <v>85</v>
      </c>
      <c r="W99" s="7" t="s">
        <v>86</v>
      </c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35">
      <c r="A100" s="7"/>
      <c r="B100" s="7" t="s">
        <v>214</v>
      </c>
      <c r="C100" s="7" t="s">
        <v>215</v>
      </c>
      <c r="D100" s="7">
        <v>29664455</v>
      </c>
      <c r="E100" s="8">
        <v>30150</v>
      </c>
      <c r="F100" s="9">
        <f>DATEDIF(E100, U100, "Y")</f>
        <v>41</v>
      </c>
      <c r="G100" s="8">
        <v>45373</v>
      </c>
      <c r="H100" s="7">
        <v>260</v>
      </c>
      <c r="I100" s="7">
        <v>3.89</v>
      </c>
      <c r="J100" s="7">
        <v>0.05</v>
      </c>
      <c r="K100" s="7">
        <v>0.47</v>
      </c>
      <c r="L100" s="7">
        <v>1.33</v>
      </c>
      <c r="M100" s="10">
        <f t="shared" si="0"/>
        <v>2.9248120300751879</v>
      </c>
      <c r="N100" s="10">
        <f t="shared" si="1"/>
        <v>195.48872180451127</v>
      </c>
      <c r="O100" s="10">
        <f t="shared" si="2"/>
        <v>0.35338345864661652</v>
      </c>
      <c r="P100" s="10">
        <f t="shared" si="3"/>
        <v>3.7593984962406013E-2</v>
      </c>
      <c r="Q100" s="10">
        <f t="shared" si="4"/>
        <v>760.45112781954879</v>
      </c>
      <c r="R100" s="10">
        <f t="shared" si="5"/>
        <v>1.3746616541353383</v>
      </c>
      <c r="S100" s="10">
        <f t="shared" si="6"/>
        <v>2.8297872340425534</v>
      </c>
      <c r="T100" s="10">
        <f t="shared" si="7"/>
        <v>357.41203007518794</v>
      </c>
      <c r="U100" s="8">
        <v>45373</v>
      </c>
      <c r="V100" s="7" t="s">
        <v>30</v>
      </c>
      <c r="W100" s="7" t="s">
        <v>86</v>
      </c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35">
      <c r="A101" s="7"/>
      <c r="B101" s="7" t="s">
        <v>216</v>
      </c>
      <c r="C101" s="7" t="s">
        <v>40</v>
      </c>
      <c r="D101" s="7">
        <v>47226113</v>
      </c>
      <c r="E101" s="8">
        <v>22732</v>
      </c>
      <c r="F101" s="9">
        <f>DATEDIF(E101, U101, "Y")</f>
        <v>61</v>
      </c>
      <c r="G101" s="8">
        <v>45343</v>
      </c>
      <c r="H101" s="7">
        <v>261</v>
      </c>
      <c r="I101" s="7">
        <v>2.75</v>
      </c>
      <c r="J101" s="7">
        <v>7.0000000000000007E-2</v>
      </c>
      <c r="K101" s="7">
        <v>0.23</v>
      </c>
      <c r="L101" s="7">
        <v>1.32</v>
      </c>
      <c r="M101" s="10">
        <f t="shared" si="0"/>
        <v>2.083333333333333</v>
      </c>
      <c r="N101" s="10">
        <f t="shared" si="1"/>
        <v>197.72727272727272</v>
      </c>
      <c r="O101" s="10">
        <f t="shared" si="2"/>
        <v>0.17424242424242425</v>
      </c>
      <c r="P101" s="10">
        <f t="shared" si="3"/>
        <v>5.3030303030303032E-2</v>
      </c>
      <c r="Q101" s="10">
        <f t="shared" si="4"/>
        <v>543.75</v>
      </c>
      <c r="R101" s="10">
        <f t="shared" si="5"/>
        <v>0.47916666666666669</v>
      </c>
      <c r="S101" s="10">
        <f t="shared" si="6"/>
        <v>5.7391304347826084</v>
      </c>
      <c r="T101" s="10">
        <f t="shared" si="7"/>
        <v>125.0625</v>
      </c>
      <c r="U101" s="8">
        <v>45373</v>
      </c>
      <c r="V101" s="7" t="s">
        <v>24</v>
      </c>
      <c r="W101" s="7" t="s">
        <v>86</v>
      </c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</sheetData>
  <conditionalFormatting sqref="G1">
    <cfRule type="expression" dxfId="16" priority="17">
      <formula>G1&gt;=U1</formula>
    </cfRule>
  </conditionalFormatting>
  <conditionalFormatting sqref="M2:M101">
    <cfRule type="cellIs" dxfId="15" priority="1" operator="greaterThanOrEqual">
      <formula>3</formula>
    </cfRule>
    <cfRule type="cellIs" dxfId="14" priority="2" operator="greaterThanOrEqual">
      <formula>2</formula>
    </cfRule>
  </conditionalFormatting>
  <conditionalFormatting sqref="N2:N101">
    <cfRule type="cellIs" dxfId="13" priority="3" operator="greaterThanOrEqual">
      <formula>200</formula>
    </cfRule>
    <cfRule type="cellIs" dxfId="12" priority="4" operator="greaterThanOrEqual">
      <formula>150</formula>
    </cfRule>
  </conditionalFormatting>
  <conditionalFormatting sqref="O2:O101">
    <cfRule type="cellIs" dxfId="11" priority="5" operator="greaterThanOrEqual">
      <formula>0.4</formula>
    </cfRule>
    <cfRule type="cellIs" dxfId="10" priority="9" operator="greaterThanOrEqual">
      <formula>0.3</formula>
    </cfRule>
  </conditionalFormatting>
  <conditionalFormatting sqref="P2:P101">
    <cfRule type="cellIs" dxfId="9" priority="6" operator="greaterThanOrEqual">
      <formula>0.2</formula>
    </cfRule>
    <cfRule type="cellIs" dxfId="8" priority="10" operator="greaterThanOrEqual">
      <formula>0.1</formula>
    </cfRule>
  </conditionalFormatting>
  <conditionalFormatting sqref="Q2:Q101">
    <cfRule type="cellIs" dxfId="7" priority="7" operator="greaterThanOrEqual">
      <formula>1000</formula>
    </cfRule>
    <cfRule type="cellIs" dxfId="6" priority="11" operator="greaterThanOrEqual">
      <formula>600</formula>
    </cfRule>
  </conditionalFormatting>
  <conditionalFormatting sqref="R2:R101">
    <cfRule type="cellIs" dxfId="5" priority="8" operator="greaterThanOrEqual">
      <formula>1.5</formula>
    </cfRule>
    <cfRule type="cellIs" dxfId="4" priority="12" operator="greaterThanOrEqual">
      <formula>1</formula>
    </cfRule>
  </conditionalFormatting>
  <conditionalFormatting sqref="S2:S101">
    <cfRule type="cellIs" dxfId="3" priority="13" operator="greaterThanOrEqual">
      <formula>3</formula>
    </cfRule>
    <cfRule type="cellIs" dxfId="2" priority="14" operator="greaterThanOrEqual">
      <formula>2.5</formula>
    </cfRule>
  </conditionalFormatting>
  <conditionalFormatting sqref="T2:T101">
    <cfRule type="cellIs" dxfId="1" priority="15" operator="greaterThanOrEqual">
      <formula>400</formula>
    </cfRule>
    <cfRule type="cellIs" dxfId="0" priority="16" operator="greaterThanOrEqual">
      <formula>300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Benign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Paratore</cp:lastModifiedBy>
  <dcterms:modified xsi:type="dcterms:W3CDTF">2025-11-05T14:41:53Z</dcterms:modified>
</cp:coreProperties>
</file>